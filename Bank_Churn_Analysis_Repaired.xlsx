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pivotTables/pivotTable2.xml" ContentType="application/vnd.openxmlformats-officedocument.spreadsheetml.pivotTable+xml"/>
  <Override PartName="/xl/worksheets/sheet4.xml" ContentType="application/vnd.openxmlformats-officedocument.spreadsheetml.worksheet+xml"/>
  <Override PartName="/xl/pivotTables/pivotTable3.xml" ContentType="application/vnd.openxmlformats-officedocument.spreadsheetml.pivotTable+xml"/>
  <Override PartName="/xl/worksheets/sheet5.xml" ContentType="application/vnd.openxmlformats-officedocument.spreadsheetml.worksheet+xml"/>
  <Override PartName="/xl/pivotTables/pivotTable4.xml" ContentType="application/vnd.openxmlformats-officedocument.spreadsheetml.pivotTable+xml"/>
  <Override PartName="/xl/worksheets/sheet6.xml" ContentType="application/vnd.openxmlformats-officedocument.spreadsheetml.worksheet+xml"/>
  <Override PartName="/xl/pivotTables/pivotTable5.xml" ContentType="application/vnd.openxmlformats-officedocument.spreadsheetml.pivot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510" yWindow="0" windowWidth="9780" windowHeight="10890" tabRatio="600" firstSheet="5" activeTab="0" autoFilterDateGrouping="1"/>
  </bookViews>
  <sheets>
    <sheet xmlns:r="http://schemas.openxmlformats.org/officeDocument/2006/relationships" name="Overview" sheetId="1" state="visible" r:id="rId1"/>
    <sheet xmlns:r="http://schemas.openxmlformats.org/officeDocument/2006/relationships" name="Q1" sheetId="2" state="visible" r:id="rId2"/>
    <sheet xmlns:r="http://schemas.openxmlformats.org/officeDocument/2006/relationships" name="Q2" sheetId="3" state="visible" r:id="rId3"/>
    <sheet xmlns:r="http://schemas.openxmlformats.org/officeDocument/2006/relationships" name="Q3" sheetId="4" state="visible" r:id="rId4"/>
    <sheet xmlns:r="http://schemas.openxmlformats.org/officeDocument/2006/relationships" name="Q4" sheetId="5" state="visible" r:id="rId5"/>
    <sheet xmlns:r="http://schemas.openxmlformats.org/officeDocument/2006/relationships" name="Q5" sheetId="6" state="visible" r:id="rId6"/>
    <sheet xmlns:r="http://schemas.openxmlformats.org/officeDocument/2006/relationships" name="RQ1" sheetId="7" state="visible" r:id="rId7"/>
    <sheet xmlns:r="http://schemas.openxmlformats.org/officeDocument/2006/relationships" name="RQ2" sheetId="8" state="visible" r:id="rId8"/>
    <sheet xmlns:r="http://schemas.openxmlformats.org/officeDocument/2006/relationships" name="Sheet1" sheetId="9" state="visible" r:id="rId9"/>
  </sheets>
  <definedNames>
    <definedName name="_xlnm._FilterDatabase" localSheetId="0" hidden="1">'Overview'!$A$2:$B$6</definedName>
  </definedNames>
  <calcPr calcId="191029" fullCalcOnLoad="1"/>
  <pivotCaches>
    <pivotCache xmlns:r="http://schemas.openxmlformats.org/officeDocument/2006/relationships" cacheId="0" r:id="rId10"/>
  </pivotCaches>
</workbook>
</file>

<file path=xl/styles.xml><?xml version="1.0" encoding="utf-8"?>
<styleSheet xmlns="http://schemas.openxmlformats.org/spreadsheetml/2006/main">
  <numFmts count="2">
    <numFmt numFmtId="164" formatCode="0.0%"/>
    <numFmt numFmtId="165" formatCode="0.0000"/>
  </numFmts>
  <fonts count="6">
    <font>
      <name val="Calibri"/>
      <family val="2"/>
      <color theme="1"/>
      <sz val="11"/>
      <scheme val="minor"/>
    </font>
    <font>
      <name val="Calibri"/>
      <family val="2"/>
      <b val="1"/>
      <color theme="1"/>
      <sz val="11"/>
      <scheme val="minor"/>
    </font>
    <font>
      <name val="Calibri"/>
      <family val="2"/>
      <i val="1"/>
      <color theme="1"/>
      <sz val="11"/>
      <scheme val="minor"/>
    </font>
    <font>
      <name val="Aptos Display"/>
      <b val="1"/>
      <color rgb="00FFFFFF"/>
      <sz val="18"/>
    </font>
    <font>
      <b val="1"/>
      <color rgb="0017365D"/>
    </font>
    <font>
      <name val="Aptos Display"/>
      <b val="1"/>
      <color rgb="00FFFFFF"/>
      <sz val="16"/>
    </font>
  </fonts>
  <fills count="4">
    <fill>
      <patternFill/>
    </fill>
    <fill>
      <patternFill patternType="gray125"/>
    </fill>
    <fill>
      <patternFill patternType="solid">
        <fgColor rgb="0017365D"/>
      </patternFill>
    </fill>
    <fill>
      <patternFill patternType="solid">
        <fgColor rgb="00D9EAF7"/>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pivotButton="1" quotePrefix="0" xfId="0"/>
    <xf numFmtId="0" fontId="0" fillId="0" borderId="0" applyAlignment="1" pivotButton="0" quotePrefix="0" xfId="0">
      <alignment horizontal="left"/>
    </xf>
    <xf numFmtId="0" fontId="1" fillId="0" borderId="0" pivotButton="0" quotePrefix="0" xfId="0"/>
    <xf numFmtId="0" fontId="2" fillId="0" borderId="0" applyAlignment="1" pivotButton="0" quotePrefix="0" xfId="0">
      <alignment horizontal="left" vertical="center" indent="1"/>
    </xf>
    <xf numFmtId="0" fontId="0" fillId="0" borderId="0" pivotButton="0" quotePrefix="0" xfId="0"/>
    <xf numFmtId="0" fontId="0" fillId="0" borderId="2" pivotButton="0" quotePrefix="0" xfId="0"/>
    <xf numFmtId="0" fontId="2" fillId="0" borderId="3" applyAlignment="1" pivotButton="0" quotePrefix="0" xfId="0">
      <alignment horizontal="center"/>
    </xf>
    <xf numFmtId="0" fontId="3" fillId="2" borderId="0" applyAlignment="1" pivotButton="0" quotePrefix="0" xfId="0">
      <alignment vertical="top" wrapText="1"/>
    </xf>
    <xf numFmtId="0" fontId="0" fillId="0" borderId="0" applyAlignment="1" pivotButton="0" quotePrefix="0" xfId="0">
      <alignment vertical="top" wrapText="1"/>
    </xf>
    <xf numFmtId="0" fontId="4" fillId="3" borderId="0" applyAlignment="1" pivotButton="0" quotePrefix="0" xfId="0">
      <alignment vertical="top" wrapText="1"/>
    </xf>
    <xf numFmtId="164" fontId="0" fillId="0" borderId="0" applyAlignment="1" pivotButton="0" quotePrefix="0" xfId="0">
      <alignment vertical="top" wrapText="1"/>
    </xf>
    <xf numFmtId="0" fontId="5" fillId="2"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pivotCacheDefinition" Target="/xl/pivotCache/pivotCacheDefinition1.xml" Id="rId10"/><Relationship Type="http://schemas.openxmlformats.org/officeDocument/2006/relationships/styles" Target="styles.xml" Id="rId11"/><Relationship Type="http://schemas.openxmlformats.org/officeDocument/2006/relationships/theme" Target="theme/theme1.xml" Id="rId12"/></Relationship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Iyinoluwa Don-Taiwo" refreshedDate="46096.82255636574" createdVersion="8" refreshedVersion="8" minRefreshableVersion="3" recordCount="500" r:id="rId1">
  <cacheSource type="worksheet">
    <worksheetSource ref="A1:M501" sheet="Sheet1"/>
  </cacheSource>
  <cacheFields count="13">
    <cacheField name="CustomerID" uniqueList="1" numFmtId="0" sqlType="0" hierarchy="0" level="0" databaseField="1">
      <sharedItems count="0" containsInteger="1" containsNumber="1" containsSemiMixedTypes="0" containsString="0" minValue="1" maxValue="500"/>
    </cacheField>
    <cacheField name="Surname" uniqueList="1" numFmtId="0" sqlType="0" hierarchy="0" level="0" databaseField="1">
      <sharedItems count="0"/>
    </cacheField>
    <cacheField name="CreditScore" uniqueList="1" numFmtId="0" sqlType="0" hierarchy="0" level="0" databaseField="1">
      <sharedItems count="0" containsInteger="1" containsNumber="1" containsSemiMixedTypes="0" containsString="0" minValue="350" maxValue="849"/>
    </cacheField>
    <cacheField name="Geography" uniqueList="1" numFmtId="0" sqlType="0" hierarchy="0" level="0" databaseField="1">
      <sharedItems count="3">
        <s v="Germany"/>
        <s v="Spain"/>
        <s v="France"/>
      </sharedItems>
    </cacheField>
    <cacheField name="Gender" uniqueList="1" numFmtId="0" sqlType="0" hierarchy="0" level="0" databaseField="1">
      <sharedItems count="2">
        <s v="Male"/>
        <s v="Female"/>
      </sharedItems>
    </cacheField>
    <cacheField name="Age" uniqueList="1" numFmtId="0" sqlType="0" hierarchy="0" level="0" databaseField="1">
      <sharedItems count="0" containsInteger="1" containsNumber="1" containsSemiMixedTypes="0" containsString="0" minValue="18" maxValue="91"/>
    </cacheField>
    <cacheField name="Tenure" uniqueList="1" numFmtId="0" sqlType="0" hierarchy="0" level="0" databaseField="1">
      <sharedItems count="11" containsInteger="1" containsNumber="1" containsSemiMixedTypes="0" containsString="0" minValue="0" maxValue="10">
        <n v="7"/>
        <n v="3"/>
        <n v="6"/>
        <n v="0"/>
        <n v="2"/>
        <n v="10"/>
        <n v="5"/>
        <n v="1"/>
        <n v="4"/>
        <n v="8"/>
        <n v="9"/>
      </sharedItems>
    </cacheField>
    <cacheField name="Balance" uniqueList="1" numFmtId="0" sqlType="0" hierarchy="0" level="0" databaseField="1">
      <sharedItems count="0" containsNumber="1" containsSemiMixedTypes="0" containsString="0" minValue="46.68" maxValue="249802"/>
    </cacheField>
    <cacheField name="NumOfProducts" uniqueList="1" numFmtId="0" sqlType="0" hierarchy="0" level="0" databaseField="1">
      <sharedItems count="4" containsInteger="1" containsNumber="1" containsSemiMixedTypes="0" containsString="0" minValue="1" maxValue="4">
        <n v="3"/>
        <n v="1"/>
        <n v="4"/>
        <n v="2"/>
      </sharedItems>
    </cacheField>
    <cacheField name="HasCrCard" uniqueList="1" numFmtId="0" sqlType="0" hierarchy="0" level="0" databaseField="1">
      <sharedItems count="2" containsInteger="1" containsNumber="1" containsSemiMixedTypes="0" containsString="0" minValue="0" maxValue="1">
        <n v="1"/>
        <n v="0"/>
      </sharedItems>
    </cacheField>
    <cacheField name="IsActiveMember" uniqueList="1" numFmtId="0" sqlType="0" hierarchy="0" level="0" databaseField="1">
      <sharedItems count="2" containsInteger="1" containsNumber="1" containsSemiMixedTypes="0" containsString="0" minValue="0" maxValue="1">
        <n v="0"/>
        <n v="1"/>
      </sharedItems>
    </cacheField>
    <cacheField name="EstimatedSalary" uniqueList="1" numFmtId="0" sqlType="0" hierarchy="0" level="0" databaseField="1">
      <sharedItems count="0" containsNumber="1" containsSemiMixedTypes="0" containsString="0" minValue="10127.81" maxValue="149768.05"/>
    </cacheField>
    <cacheField name="Churn" uniqueList="1" numFmtId="0" sqlType="0" hierarchy="0" level="0" databaseField="1">
      <sharedItems count="2" containsInteger="1" containsNumber="1" containsSemiMixedTypes="0" containsString="0" minValue="0" maxValue="1">
        <n v="0"/>
        <n v="1"/>
      </sharedItems>
    </cacheField>
  </cacheFields>
</pivotCacheDefinition>
</file>

<file path=xl/pivotCache/pivotCacheRecords1.xml><?xml version="1.0" encoding="utf-8"?>
<pivotCacheRecords xmlns="http://schemas.openxmlformats.org/spreadsheetml/2006/main" count="500">
  <r>
    <n v="1"/>
    <s v="Davis"/>
    <n v="764"/>
    <x v="0"/>
    <x v="0"/>
    <n v="20"/>
    <x v="0"/>
    <n v="119274.87"/>
    <x v="0"/>
    <x v="0"/>
    <x v="0"/>
    <n v="107886.77"/>
    <x v="0"/>
  </r>
  <r>
    <n v="2"/>
    <s v="Smith"/>
    <n v="365"/>
    <x v="1"/>
    <x v="1"/>
    <n v="64"/>
    <x v="1"/>
    <n v="203737.4"/>
    <x v="0"/>
    <x v="0"/>
    <x v="1"/>
    <n v="52848.11"/>
    <x v="0"/>
  </r>
  <r>
    <n v="3"/>
    <s v="Jones"/>
    <n v="519"/>
    <x v="0"/>
    <x v="0"/>
    <n v="69"/>
    <x v="2"/>
    <n v="146780.5"/>
    <x v="0"/>
    <x v="1"/>
    <x v="0"/>
    <n v="94395.02"/>
    <x v="0"/>
  </r>
  <r>
    <n v="4"/>
    <s v="Jones"/>
    <n v="516"/>
    <x v="0"/>
    <x v="1"/>
    <n v="59"/>
    <x v="3"/>
    <n v="23572.03"/>
    <x v="1"/>
    <x v="0"/>
    <x v="0"/>
    <n v="146739.55"/>
    <x v="0"/>
  </r>
  <r>
    <n v="5"/>
    <s v="Wilson"/>
    <n v="659"/>
    <x v="1"/>
    <x v="1"/>
    <n v="21"/>
    <x v="4"/>
    <n v="7463.43"/>
    <x v="1"/>
    <x v="0"/>
    <x v="1"/>
    <n v="16036.55"/>
    <x v="0"/>
  </r>
  <r>
    <n v="6"/>
    <s v="Taylor"/>
    <n v="777"/>
    <x v="1"/>
    <x v="1"/>
    <n v="34"/>
    <x v="3"/>
    <n v="127812.9"/>
    <x v="2"/>
    <x v="0"/>
    <x v="0"/>
    <n v="65189.1"/>
    <x v="0"/>
  </r>
  <r>
    <n v="7"/>
    <s v="Jones"/>
    <n v="432"/>
    <x v="0"/>
    <x v="1"/>
    <n v="81"/>
    <x v="5"/>
    <n v="136164.96"/>
    <x v="2"/>
    <x v="1"/>
    <x v="0"/>
    <n v="135962.88"/>
    <x v="0"/>
  </r>
  <r>
    <n v="8"/>
    <s v="Davis"/>
    <n v="741"/>
    <x v="2"/>
    <x v="0"/>
    <n v="82"/>
    <x v="6"/>
    <n v="204042.02"/>
    <x v="3"/>
    <x v="0"/>
    <x v="1"/>
    <n v="92581.53999999999"/>
    <x v="1"/>
  </r>
  <r>
    <n v="9"/>
    <s v="Williams"/>
    <n v="570"/>
    <x v="0"/>
    <x v="1"/>
    <n v="31"/>
    <x v="7"/>
    <n v="182609.21"/>
    <x v="3"/>
    <x v="1"/>
    <x v="1"/>
    <n v="141848.51"/>
    <x v="1"/>
  </r>
  <r>
    <n v="10"/>
    <s v="Brown"/>
    <n v="671"/>
    <x v="2"/>
    <x v="1"/>
    <n v="56"/>
    <x v="0"/>
    <n v="56345.73"/>
    <x v="3"/>
    <x v="1"/>
    <x v="0"/>
    <n v="143065.1"/>
    <x v="1"/>
  </r>
  <r>
    <n v="11"/>
    <s v="Wilson"/>
    <n v="519"/>
    <x v="2"/>
    <x v="1"/>
    <n v="22"/>
    <x v="5"/>
    <n v="198399.26"/>
    <x v="0"/>
    <x v="0"/>
    <x v="0"/>
    <n v="125839.96"/>
    <x v="1"/>
  </r>
  <r>
    <n v="12"/>
    <s v="Miller"/>
    <n v="672"/>
    <x v="0"/>
    <x v="0"/>
    <n v="21"/>
    <x v="1"/>
    <n v="157278.91"/>
    <x v="0"/>
    <x v="1"/>
    <x v="0"/>
    <n v="58708.71"/>
    <x v="1"/>
  </r>
  <r>
    <n v="13"/>
    <s v="Moore"/>
    <n v="464"/>
    <x v="1"/>
    <x v="1"/>
    <n v="37"/>
    <x v="4"/>
    <n v="58317.75"/>
    <x v="0"/>
    <x v="1"/>
    <x v="0"/>
    <n v="13740.96"/>
    <x v="0"/>
  </r>
  <r>
    <n v="14"/>
    <s v="Moore"/>
    <n v="698"/>
    <x v="0"/>
    <x v="0"/>
    <n v="34"/>
    <x v="1"/>
    <n v="128968.35"/>
    <x v="1"/>
    <x v="1"/>
    <x v="0"/>
    <n v="143532.82"/>
    <x v="1"/>
  </r>
  <r>
    <n v="15"/>
    <s v="Johnson"/>
    <n v="684"/>
    <x v="0"/>
    <x v="0"/>
    <n v="89"/>
    <x v="4"/>
    <n v="60006.91"/>
    <x v="3"/>
    <x v="0"/>
    <x v="0"/>
    <n v="38571.28"/>
    <x v="0"/>
  </r>
  <r>
    <n v="16"/>
    <s v="Miller"/>
    <n v="579"/>
    <x v="2"/>
    <x v="1"/>
    <n v="42"/>
    <x v="1"/>
    <n v="180430.72"/>
    <x v="2"/>
    <x v="1"/>
    <x v="1"/>
    <n v="43961.45"/>
    <x v="1"/>
  </r>
  <r>
    <n v="17"/>
    <s v="Wilson"/>
    <n v="569"/>
    <x v="0"/>
    <x v="0"/>
    <n v="29"/>
    <x v="0"/>
    <n v="75466.39"/>
    <x v="1"/>
    <x v="1"/>
    <x v="0"/>
    <n v="103226.64"/>
    <x v="1"/>
  </r>
  <r>
    <n v="18"/>
    <s v="Wilson"/>
    <n v="596"/>
    <x v="1"/>
    <x v="0"/>
    <n v="40"/>
    <x v="0"/>
    <n v="124186.11"/>
    <x v="0"/>
    <x v="0"/>
    <x v="1"/>
    <n v="108305.55"/>
    <x v="0"/>
  </r>
  <r>
    <n v="19"/>
    <s v="Moore"/>
    <n v="450"/>
    <x v="0"/>
    <x v="1"/>
    <n v="78"/>
    <x v="7"/>
    <n v="224549.07"/>
    <x v="2"/>
    <x v="1"/>
    <x v="1"/>
    <n v="144262.57"/>
    <x v="1"/>
  </r>
  <r>
    <n v="20"/>
    <s v="Johnson"/>
    <n v="765"/>
    <x v="0"/>
    <x v="1"/>
    <n v="20"/>
    <x v="8"/>
    <n v="246840.35"/>
    <x v="3"/>
    <x v="1"/>
    <x v="0"/>
    <n v="93337.31"/>
    <x v="0"/>
  </r>
  <r>
    <n v="21"/>
    <s v="Davis"/>
    <n v="571"/>
    <x v="2"/>
    <x v="0"/>
    <n v="26"/>
    <x v="2"/>
    <n v="239474.66"/>
    <x v="1"/>
    <x v="1"/>
    <x v="1"/>
    <n v="71646.19"/>
    <x v="1"/>
  </r>
  <r>
    <n v="22"/>
    <s v="Taylor"/>
    <n v="528"/>
    <x v="1"/>
    <x v="1"/>
    <n v="90"/>
    <x v="5"/>
    <n v="192616.6"/>
    <x v="2"/>
    <x v="0"/>
    <x v="0"/>
    <n v="27413.39"/>
    <x v="0"/>
  </r>
  <r>
    <n v="23"/>
    <s v="Moore"/>
    <n v="524"/>
    <x v="1"/>
    <x v="0"/>
    <n v="56"/>
    <x v="0"/>
    <n v="34050.82"/>
    <x v="2"/>
    <x v="1"/>
    <x v="1"/>
    <n v="130037.45"/>
    <x v="1"/>
  </r>
  <r>
    <n v="24"/>
    <s v="Taylor"/>
    <n v="443"/>
    <x v="2"/>
    <x v="1"/>
    <n v="70"/>
    <x v="3"/>
    <n v="116986.77"/>
    <x v="3"/>
    <x v="1"/>
    <x v="0"/>
    <n v="16197.08"/>
    <x v="0"/>
  </r>
  <r>
    <n v="25"/>
    <s v="Brown"/>
    <n v="464"/>
    <x v="1"/>
    <x v="1"/>
    <n v="81"/>
    <x v="3"/>
    <n v="242071.38"/>
    <x v="3"/>
    <x v="1"/>
    <x v="0"/>
    <n v="129312.08"/>
    <x v="0"/>
  </r>
  <r>
    <n v="26"/>
    <s v="Jones"/>
    <n v="511"/>
    <x v="1"/>
    <x v="1"/>
    <n v="39"/>
    <x v="2"/>
    <n v="88252.39999999999"/>
    <x v="3"/>
    <x v="0"/>
    <x v="1"/>
    <n v="57083.95"/>
    <x v="0"/>
  </r>
  <r>
    <n v="27"/>
    <s v="Smith"/>
    <n v="618"/>
    <x v="0"/>
    <x v="0"/>
    <n v="22"/>
    <x v="8"/>
    <n v="39874.14"/>
    <x v="0"/>
    <x v="0"/>
    <x v="1"/>
    <n v="137124.11"/>
    <x v="1"/>
  </r>
  <r>
    <n v="28"/>
    <s v="Jones"/>
    <n v="574"/>
    <x v="2"/>
    <x v="0"/>
    <n v="49"/>
    <x v="8"/>
    <n v="47828.14"/>
    <x v="0"/>
    <x v="0"/>
    <x v="0"/>
    <n v="129087.2"/>
    <x v="0"/>
  </r>
  <r>
    <n v="29"/>
    <s v="Davis"/>
    <n v="583"/>
    <x v="1"/>
    <x v="0"/>
    <n v="55"/>
    <x v="5"/>
    <n v="137337.08"/>
    <x v="3"/>
    <x v="1"/>
    <x v="1"/>
    <n v="107849.47"/>
    <x v="1"/>
  </r>
  <r>
    <n v="30"/>
    <s v="Smith"/>
    <n v="686"/>
    <x v="2"/>
    <x v="1"/>
    <n v="25"/>
    <x v="6"/>
    <n v="5425.45"/>
    <x v="2"/>
    <x v="0"/>
    <x v="0"/>
    <n v="82076.7"/>
    <x v="1"/>
  </r>
  <r>
    <n v="31"/>
    <s v="Williams"/>
    <n v="416"/>
    <x v="0"/>
    <x v="0"/>
    <n v="40"/>
    <x v="7"/>
    <n v="192565.36"/>
    <x v="0"/>
    <x v="1"/>
    <x v="0"/>
    <n v="106833.18"/>
    <x v="1"/>
  </r>
  <r>
    <n v="32"/>
    <s v="Jones"/>
    <n v="806"/>
    <x v="1"/>
    <x v="1"/>
    <n v="60"/>
    <x v="5"/>
    <n v="98142.25999999999"/>
    <x v="2"/>
    <x v="1"/>
    <x v="1"/>
    <n v="88655.49000000001"/>
    <x v="1"/>
  </r>
  <r>
    <n v="33"/>
    <s v="Moore"/>
    <n v="849"/>
    <x v="2"/>
    <x v="1"/>
    <n v="77"/>
    <x v="4"/>
    <n v="55839.55"/>
    <x v="1"/>
    <x v="0"/>
    <x v="1"/>
    <n v="45305.66"/>
    <x v="1"/>
  </r>
  <r>
    <n v="34"/>
    <s v="Johnson"/>
    <n v="475"/>
    <x v="1"/>
    <x v="0"/>
    <n v="72"/>
    <x v="2"/>
    <n v="72899.17"/>
    <x v="1"/>
    <x v="1"/>
    <x v="0"/>
    <n v="90761.77"/>
    <x v="0"/>
  </r>
  <r>
    <n v="35"/>
    <s v="Jones"/>
    <n v="488"/>
    <x v="2"/>
    <x v="1"/>
    <n v="91"/>
    <x v="9"/>
    <n v="200786.02"/>
    <x v="1"/>
    <x v="1"/>
    <x v="0"/>
    <n v="128936.13"/>
    <x v="1"/>
  </r>
  <r>
    <n v="36"/>
    <s v="Jones"/>
    <n v="462"/>
    <x v="0"/>
    <x v="0"/>
    <n v="69"/>
    <x v="4"/>
    <n v="9295.290000000001"/>
    <x v="0"/>
    <x v="1"/>
    <x v="0"/>
    <n v="39491.23"/>
    <x v="1"/>
  </r>
  <r>
    <n v="37"/>
    <s v="Jones"/>
    <n v="568"/>
    <x v="0"/>
    <x v="1"/>
    <n v="41"/>
    <x v="5"/>
    <n v="192830.21"/>
    <x v="3"/>
    <x v="1"/>
    <x v="0"/>
    <n v="82076.7"/>
    <x v="0"/>
  </r>
  <r>
    <n v="38"/>
    <s v="Wilson"/>
    <n v="505"/>
    <x v="1"/>
    <x v="0"/>
    <n v="43"/>
    <x v="10"/>
    <n v="190574.23"/>
    <x v="1"/>
    <x v="0"/>
    <x v="0"/>
    <n v="22363.52"/>
    <x v="0"/>
  </r>
  <r>
    <n v="39"/>
    <s v="Smith"/>
    <n v="534"/>
    <x v="1"/>
    <x v="1"/>
    <n v="75"/>
    <x v="10"/>
    <n v="20385.3"/>
    <x v="1"/>
    <x v="1"/>
    <x v="0"/>
    <n v="118972.35"/>
    <x v="1"/>
  </r>
  <r>
    <n v="40"/>
    <s v="Johnson"/>
    <n v="470"/>
    <x v="2"/>
    <x v="1"/>
    <n v="87"/>
    <x v="6"/>
    <n v="207759.1"/>
    <x v="2"/>
    <x v="1"/>
    <x v="0"/>
    <n v="23908.03"/>
    <x v="0"/>
  </r>
  <r>
    <n v="41"/>
    <s v="Taylor"/>
    <n v="671"/>
    <x v="1"/>
    <x v="0"/>
    <n v="63"/>
    <x v="6"/>
    <n v="43010.54"/>
    <x v="0"/>
    <x v="1"/>
    <x v="1"/>
    <n v="82076.7"/>
    <x v="1"/>
  </r>
  <r>
    <n v="42"/>
    <s v="Taylor"/>
    <n v="798"/>
    <x v="0"/>
    <x v="0"/>
    <n v="69"/>
    <x v="9"/>
    <n v="34108.09"/>
    <x v="0"/>
    <x v="1"/>
    <x v="0"/>
    <n v="81519.78"/>
    <x v="0"/>
  </r>
  <r>
    <n v="43"/>
    <s v="Smith"/>
    <n v="547"/>
    <x v="0"/>
    <x v="1"/>
    <n v="77"/>
    <x v="6"/>
    <n v="41600.3"/>
    <x v="2"/>
    <x v="1"/>
    <x v="0"/>
    <n v="48255.32"/>
    <x v="1"/>
  </r>
  <r>
    <n v="44"/>
    <s v="Brown"/>
    <n v="694"/>
    <x v="0"/>
    <x v="0"/>
    <n v="62"/>
    <x v="10"/>
    <n v="689.5"/>
    <x v="0"/>
    <x v="1"/>
    <x v="0"/>
    <n v="19803.7"/>
    <x v="0"/>
  </r>
  <r>
    <n v="45"/>
    <s v="Wilson"/>
    <n v="640"/>
    <x v="1"/>
    <x v="1"/>
    <n v="44"/>
    <x v="7"/>
    <n v="133364.17"/>
    <x v="2"/>
    <x v="0"/>
    <x v="0"/>
    <n v="124490.71"/>
    <x v="0"/>
  </r>
  <r>
    <n v="46"/>
    <s v="Jones"/>
    <n v="813"/>
    <x v="2"/>
    <x v="1"/>
    <n v="61"/>
    <x v="10"/>
    <n v="92243.96000000001"/>
    <x v="3"/>
    <x v="1"/>
    <x v="1"/>
    <n v="64920.41"/>
    <x v="1"/>
  </r>
  <r>
    <n v="47"/>
    <s v="Williams"/>
    <n v="353"/>
    <x v="0"/>
    <x v="1"/>
    <n v="50"/>
    <x v="8"/>
    <n v="35813.31"/>
    <x v="2"/>
    <x v="1"/>
    <x v="0"/>
    <n v="133876.08"/>
    <x v="0"/>
  </r>
  <r>
    <n v="48"/>
    <s v="Wilson"/>
    <n v="538"/>
    <x v="0"/>
    <x v="1"/>
    <n v="48"/>
    <x v="2"/>
    <n v="217182.14"/>
    <x v="3"/>
    <x v="1"/>
    <x v="1"/>
    <n v="110877.22"/>
    <x v="1"/>
  </r>
  <r>
    <n v="49"/>
    <s v="Williams"/>
    <n v="588"/>
    <x v="1"/>
    <x v="1"/>
    <n v="32"/>
    <x v="10"/>
    <n v="126550.42"/>
    <x v="0"/>
    <x v="1"/>
    <x v="1"/>
    <n v="21781.6"/>
    <x v="1"/>
  </r>
  <r>
    <n v="50"/>
    <s v="Smith"/>
    <n v="515"/>
    <x v="1"/>
    <x v="0"/>
    <n v="89"/>
    <x v="5"/>
    <n v="87177.02"/>
    <x v="1"/>
    <x v="0"/>
    <x v="1"/>
    <n v="118097.5"/>
    <x v="0"/>
  </r>
  <r>
    <n v="51"/>
    <s v="Smith"/>
    <n v="521"/>
    <x v="1"/>
    <x v="0"/>
    <n v="79"/>
    <x v="9"/>
    <n v="133180.14"/>
    <x v="0"/>
    <x v="0"/>
    <x v="1"/>
    <n v="125168.23"/>
    <x v="1"/>
  </r>
  <r>
    <n v="52"/>
    <s v="Brown"/>
    <n v="561"/>
    <x v="1"/>
    <x v="0"/>
    <n v="19"/>
    <x v="5"/>
    <n v="202302.98"/>
    <x v="1"/>
    <x v="0"/>
    <x v="1"/>
    <n v="24025.92"/>
    <x v="0"/>
  </r>
  <r>
    <n v="53"/>
    <s v="Davis"/>
    <n v="694"/>
    <x v="2"/>
    <x v="1"/>
    <n v="65"/>
    <x v="3"/>
    <n v="42733.7"/>
    <x v="0"/>
    <x v="1"/>
    <x v="1"/>
    <n v="103834.77"/>
    <x v="0"/>
  </r>
  <r>
    <n v="54"/>
    <s v="Davis"/>
    <n v="420"/>
    <x v="1"/>
    <x v="0"/>
    <n v="61"/>
    <x v="6"/>
    <n v="216419.15"/>
    <x v="2"/>
    <x v="0"/>
    <x v="1"/>
    <n v="40937.34"/>
    <x v="1"/>
  </r>
  <r>
    <n v="55"/>
    <s v="Miller"/>
    <n v="498"/>
    <x v="2"/>
    <x v="0"/>
    <n v="33"/>
    <x v="2"/>
    <n v="146361.2"/>
    <x v="2"/>
    <x v="1"/>
    <x v="1"/>
    <n v="56949.24"/>
    <x v="0"/>
  </r>
  <r>
    <n v="56"/>
    <s v="Moore"/>
    <n v="740"/>
    <x v="2"/>
    <x v="0"/>
    <n v="86"/>
    <x v="3"/>
    <n v="153882.97"/>
    <x v="3"/>
    <x v="1"/>
    <x v="1"/>
    <n v="29656.96"/>
    <x v="1"/>
  </r>
  <r>
    <n v="57"/>
    <s v="Brown"/>
    <n v="634"/>
    <x v="0"/>
    <x v="1"/>
    <n v="57"/>
    <x v="2"/>
    <n v="147135.54"/>
    <x v="2"/>
    <x v="0"/>
    <x v="0"/>
    <n v="16131.69"/>
    <x v="1"/>
  </r>
  <r>
    <n v="58"/>
    <s v="Johnson"/>
    <n v="465"/>
    <x v="0"/>
    <x v="0"/>
    <n v="18"/>
    <x v="3"/>
    <n v="55329.78"/>
    <x v="1"/>
    <x v="1"/>
    <x v="0"/>
    <n v="130050.9"/>
    <x v="1"/>
  </r>
  <r>
    <n v="59"/>
    <s v="Brown"/>
    <n v="740"/>
    <x v="1"/>
    <x v="0"/>
    <n v="76"/>
    <x v="2"/>
    <n v="46184.63"/>
    <x v="2"/>
    <x v="1"/>
    <x v="1"/>
    <n v="140603.54"/>
    <x v="0"/>
  </r>
  <r>
    <n v="60"/>
    <s v="Taylor"/>
    <n v="672"/>
    <x v="0"/>
    <x v="0"/>
    <n v="30"/>
    <x v="0"/>
    <n v="119338.08"/>
    <x v="3"/>
    <x v="1"/>
    <x v="1"/>
    <n v="111048.16"/>
    <x v="1"/>
  </r>
  <r>
    <n v="61"/>
    <s v="Moore"/>
    <n v="442"/>
    <x v="2"/>
    <x v="1"/>
    <n v="61"/>
    <x v="7"/>
    <n v="89085.67999999999"/>
    <x v="1"/>
    <x v="0"/>
    <x v="1"/>
    <n v="33012.78"/>
    <x v="0"/>
  </r>
  <r>
    <n v="62"/>
    <s v="Johnson"/>
    <n v="826"/>
    <x v="1"/>
    <x v="0"/>
    <n v="72"/>
    <x v="7"/>
    <n v="60209.09"/>
    <x v="1"/>
    <x v="1"/>
    <x v="0"/>
    <n v="10127.81"/>
    <x v="1"/>
  </r>
  <r>
    <n v="63"/>
    <s v="Johnson"/>
    <n v="452"/>
    <x v="1"/>
    <x v="1"/>
    <n v="65"/>
    <x v="6"/>
    <n v="145317.32"/>
    <x v="0"/>
    <x v="1"/>
    <x v="0"/>
    <n v="60885.4"/>
    <x v="1"/>
  </r>
  <r>
    <n v="64"/>
    <s v="Wilson"/>
    <n v="707"/>
    <x v="1"/>
    <x v="1"/>
    <n v="40"/>
    <x v="3"/>
    <n v="214046.15"/>
    <x v="1"/>
    <x v="1"/>
    <x v="1"/>
    <n v="86343.96000000001"/>
    <x v="0"/>
  </r>
  <r>
    <n v="65"/>
    <s v="Taylor"/>
    <n v="729"/>
    <x v="1"/>
    <x v="0"/>
    <n v="49"/>
    <x v="2"/>
    <n v="139224.43"/>
    <x v="2"/>
    <x v="0"/>
    <x v="1"/>
    <n v="68374.88"/>
    <x v="1"/>
  </r>
  <r>
    <n v="66"/>
    <s v="Taylor"/>
    <n v="547"/>
    <x v="0"/>
    <x v="1"/>
    <n v="52"/>
    <x v="8"/>
    <n v="226630.81"/>
    <x v="0"/>
    <x v="1"/>
    <x v="0"/>
    <n v="103458.26"/>
    <x v="0"/>
  </r>
  <r>
    <n v="67"/>
    <s v="Jones"/>
    <n v="459"/>
    <x v="1"/>
    <x v="0"/>
    <n v="60"/>
    <x v="5"/>
    <n v="179198.75"/>
    <x v="3"/>
    <x v="0"/>
    <x v="1"/>
    <n v="48970.88"/>
    <x v="1"/>
  </r>
  <r>
    <n v="68"/>
    <s v="Miller"/>
    <n v="679"/>
    <x v="2"/>
    <x v="1"/>
    <n v="86"/>
    <x v="8"/>
    <n v="225109.32"/>
    <x v="0"/>
    <x v="0"/>
    <x v="0"/>
    <n v="50593.37"/>
    <x v="0"/>
  </r>
  <r>
    <n v="69"/>
    <s v="Wilson"/>
    <n v="450"/>
    <x v="1"/>
    <x v="0"/>
    <n v="80"/>
    <x v="8"/>
    <n v="128388.87"/>
    <x v="3"/>
    <x v="1"/>
    <x v="0"/>
    <n v="10848.47"/>
    <x v="0"/>
  </r>
  <r>
    <n v="70"/>
    <s v="Williams"/>
    <n v="532"/>
    <x v="0"/>
    <x v="0"/>
    <n v="54"/>
    <x v="0"/>
    <n v="146834.15"/>
    <x v="3"/>
    <x v="0"/>
    <x v="1"/>
    <n v="99812.42"/>
    <x v="1"/>
  </r>
  <r>
    <n v="71"/>
    <s v="Smith"/>
    <n v="683"/>
    <x v="2"/>
    <x v="1"/>
    <n v="62"/>
    <x v="4"/>
    <n v="88669.44"/>
    <x v="0"/>
    <x v="0"/>
    <x v="0"/>
    <n v="128437.74"/>
    <x v="1"/>
  </r>
  <r>
    <n v="72"/>
    <s v="Jones"/>
    <n v="755"/>
    <x v="0"/>
    <x v="0"/>
    <n v="88"/>
    <x v="7"/>
    <n v="185926.28"/>
    <x v="1"/>
    <x v="0"/>
    <x v="0"/>
    <n v="138274.03"/>
    <x v="1"/>
  </r>
  <r>
    <n v="73"/>
    <s v="Davis"/>
    <n v="509"/>
    <x v="0"/>
    <x v="1"/>
    <n v="24"/>
    <x v="8"/>
    <n v="112469.92"/>
    <x v="2"/>
    <x v="1"/>
    <x v="0"/>
    <n v="92201.91"/>
    <x v="0"/>
  </r>
  <r>
    <n v="74"/>
    <s v="Taylor"/>
    <n v="431"/>
    <x v="0"/>
    <x v="0"/>
    <n v="66"/>
    <x v="10"/>
    <n v="103045.29"/>
    <x v="3"/>
    <x v="0"/>
    <x v="0"/>
    <n v="36831.44"/>
    <x v="0"/>
  </r>
  <r>
    <n v="75"/>
    <s v="Brown"/>
    <n v="385"/>
    <x v="0"/>
    <x v="1"/>
    <n v="27"/>
    <x v="9"/>
    <n v="35744.7"/>
    <x v="1"/>
    <x v="1"/>
    <x v="1"/>
    <n v="67445.00999999999"/>
    <x v="0"/>
  </r>
  <r>
    <n v="76"/>
    <s v="Brown"/>
    <n v="587"/>
    <x v="1"/>
    <x v="1"/>
    <n v="46"/>
    <x v="8"/>
    <n v="88638.62"/>
    <x v="3"/>
    <x v="0"/>
    <x v="0"/>
    <n v="60075.81"/>
    <x v="0"/>
  </r>
  <r>
    <n v="77"/>
    <s v="Miller"/>
    <n v="593"/>
    <x v="0"/>
    <x v="1"/>
    <n v="74"/>
    <x v="8"/>
    <n v="166950.86"/>
    <x v="2"/>
    <x v="0"/>
    <x v="1"/>
    <n v="18020.81"/>
    <x v="0"/>
  </r>
  <r>
    <n v="78"/>
    <s v="Brown"/>
    <n v="600"/>
    <x v="1"/>
    <x v="1"/>
    <n v="27"/>
    <x v="0"/>
    <n v="127193.14"/>
    <x v="3"/>
    <x v="1"/>
    <x v="0"/>
    <n v="11971.58"/>
    <x v="0"/>
  </r>
  <r>
    <n v="79"/>
    <s v="Brown"/>
    <n v="742"/>
    <x v="1"/>
    <x v="1"/>
    <n v="84"/>
    <x v="3"/>
    <n v="129782.98"/>
    <x v="3"/>
    <x v="0"/>
    <x v="1"/>
    <n v="53475.84"/>
    <x v="0"/>
  </r>
  <r>
    <n v="80"/>
    <s v="Jones"/>
    <n v="604"/>
    <x v="0"/>
    <x v="0"/>
    <n v="27"/>
    <x v="0"/>
    <n v="162041.47"/>
    <x v="0"/>
    <x v="0"/>
    <x v="0"/>
    <n v="109301.93"/>
    <x v="1"/>
  </r>
  <r>
    <n v="81"/>
    <s v="Brown"/>
    <n v="631"/>
    <x v="2"/>
    <x v="0"/>
    <n v="54"/>
    <x v="5"/>
    <n v="68959.39"/>
    <x v="0"/>
    <x v="1"/>
    <x v="0"/>
    <n v="101131.11"/>
    <x v="0"/>
  </r>
  <r>
    <n v="82"/>
    <s v="Brown"/>
    <n v="371"/>
    <x v="0"/>
    <x v="1"/>
    <n v="46"/>
    <x v="9"/>
    <n v="55186.57"/>
    <x v="3"/>
    <x v="0"/>
    <x v="0"/>
    <n v="117137.04"/>
    <x v="0"/>
  </r>
  <r>
    <n v="83"/>
    <s v="Moore"/>
    <n v="779"/>
    <x v="0"/>
    <x v="0"/>
    <n v="82"/>
    <x v="10"/>
    <n v="241939.64"/>
    <x v="2"/>
    <x v="0"/>
    <x v="1"/>
    <n v="132532.96"/>
    <x v="1"/>
  </r>
  <r>
    <n v="84"/>
    <s v="Brown"/>
    <n v="579"/>
    <x v="1"/>
    <x v="0"/>
    <n v="31"/>
    <x v="10"/>
    <n v="34457.83"/>
    <x v="0"/>
    <x v="0"/>
    <x v="1"/>
    <n v="142833.3"/>
    <x v="1"/>
  </r>
  <r>
    <n v="85"/>
    <s v="Jones"/>
    <n v="820"/>
    <x v="1"/>
    <x v="1"/>
    <n v="20"/>
    <x v="5"/>
    <n v="20249.55"/>
    <x v="0"/>
    <x v="1"/>
    <x v="0"/>
    <n v="121737.08"/>
    <x v="0"/>
  </r>
  <r>
    <n v="86"/>
    <s v="Wilson"/>
    <n v="750"/>
    <x v="1"/>
    <x v="1"/>
    <n v="55"/>
    <x v="6"/>
    <n v="175912.59"/>
    <x v="3"/>
    <x v="0"/>
    <x v="1"/>
    <n v="15679.54"/>
    <x v="0"/>
  </r>
  <r>
    <n v="87"/>
    <s v="Davis"/>
    <n v="503"/>
    <x v="1"/>
    <x v="1"/>
    <n v="89"/>
    <x v="4"/>
    <n v="161781.33"/>
    <x v="3"/>
    <x v="1"/>
    <x v="0"/>
    <n v="145603.81"/>
    <x v="1"/>
  </r>
  <r>
    <n v="88"/>
    <s v="Davis"/>
    <n v="844"/>
    <x v="0"/>
    <x v="1"/>
    <n v="21"/>
    <x v="2"/>
    <n v="92743.31"/>
    <x v="2"/>
    <x v="1"/>
    <x v="0"/>
    <n v="54061.89"/>
    <x v="0"/>
  </r>
  <r>
    <n v="89"/>
    <s v="Smith"/>
    <n v="469"/>
    <x v="2"/>
    <x v="0"/>
    <n v="68"/>
    <x v="10"/>
    <n v="19196.56"/>
    <x v="0"/>
    <x v="0"/>
    <x v="0"/>
    <n v="133731.55"/>
    <x v="1"/>
  </r>
  <r>
    <n v="90"/>
    <s v="Johnson"/>
    <n v="515"/>
    <x v="2"/>
    <x v="0"/>
    <n v="79"/>
    <x v="6"/>
    <n v="69882.49000000001"/>
    <x v="0"/>
    <x v="0"/>
    <x v="0"/>
    <n v="28817.75"/>
    <x v="1"/>
  </r>
  <r>
    <n v="91"/>
    <s v="Davis"/>
    <n v="733"/>
    <x v="2"/>
    <x v="1"/>
    <n v="46"/>
    <x v="2"/>
    <n v="15556.14"/>
    <x v="3"/>
    <x v="0"/>
    <x v="1"/>
    <n v="101797.2"/>
    <x v="0"/>
  </r>
  <r>
    <n v="92"/>
    <s v="Taylor"/>
    <n v="735"/>
    <x v="2"/>
    <x v="0"/>
    <n v="53"/>
    <x v="5"/>
    <n v="247280.33"/>
    <x v="0"/>
    <x v="0"/>
    <x v="0"/>
    <n v="54977.06"/>
    <x v="0"/>
  </r>
  <r>
    <n v="93"/>
    <s v="Jones"/>
    <n v="739"/>
    <x v="1"/>
    <x v="0"/>
    <n v="71"/>
    <x v="6"/>
    <n v="173851.84"/>
    <x v="3"/>
    <x v="0"/>
    <x v="1"/>
    <n v="121172.65"/>
    <x v="1"/>
  </r>
  <r>
    <n v="94"/>
    <s v="Smith"/>
    <n v="548"/>
    <x v="0"/>
    <x v="1"/>
    <n v="44"/>
    <x v="1"/>
    <n v="107973.28"/>
    <x v="1"/>
    <x v="1"/>
    <x v="0"/>
    <n v="27995.72"/>
    <x v="0"/>
  </r>
  <r>
    <n v="95"/>
    <s v="Davis"/>
    <n v="746"/>
    <x v="1"/>
    <x v="0"/>
    <n v="60"/>
    <x v="5"/>
    <n v="229932.49"/>
    <x v="3"/>
    <x v="0"/>
    <x v="0"/>
    <n v="81112.42"/>
    <x v="0"/>
  </r>
  <r>
    <n v="96"/>
    <s v="Smith"/>
    <n v="696"/>
    <x v="1"/>
    <x v="0"/>
    <n v="64"/>
    <x v="1"/>
    <n v="141361.44"/>
    <x v="3"/>
    <x v="0"/>
    <x v="1"/>
    <n v="147488.24"/>
    <x v="1"/>
  </r>
  <r>
    <n v="97"/>
    <s v="Johnson"/>
    <n v="424"/>
    <x v="0"/>
    <x v="1"/>
    <n v="87"/>
    <x v="5"/>
    <n v="177818.74"/>
    <x v="3"/>
    <x v="1"/>
    <x v="1"/>
    <n v="111587.44"/>
    <x v="1"/>
  </r>
  <r>
    <n v="98"/>
    <s v="Williams"/>
    <n v="788"/>
    <x v="0"/>
    <x v="0"/>
    <n v="46"/>
    <x v="3"/>
    <n v="126692.44"/>
    <x v="1"/>
    <x v="0"/>
    <x v="1"/>
    <n v="27793.35"/>
    <x v="0"/>
  </r>
  <r>
    <n v="99"/>
    <s v="Brown"/>
    <n v="428"/>
    <x v="0"/>
    <x v="0"/>
    <n v="61"/>
    <x v="1"/>
    <n v="206619.49"/>
    <x v="3"/>
    <x v="1"/>
    <x v="0"/>
    <n v="102150.42"/>
    <x v="0"/>
  </r>
  <r>
    <n v="100"/>
    <s v="Williams"/>
    <n v="668"/>
    <x v="1"/>
    <x v="0"/>
    <n v="80"/>
    <x v="8"/>
    <n v="245611.62"/>
    <x v="3"/>
    <x v="0"/>
    <x v="0"/>
    <n v="103995.53"/>
    <x v="1"/>
  </r>
  <r>
    <n v="101"/>
    <s v="Smith"/>
    <n v="422"/>
    <x v="2"/>
    <x v="1"/>
    <n v="27"/>
    <x v="7"/>
    <n v="103031.97"/>
    <x v="3"/>
    <x v="1"/>
    <x v="0"/>
    <n v="125609.39"/>
    <x v="1"/>
  </r>
  <r>
    <n v="102"/>
    <s v="Jones"/>
    <n v="549"/>
    <x v="1"/>
    <x v="1"/>
    <n v="56"/>
    <x v="3"/>
    <n v="36824.33"/>
    <x v="1"/>
    <x v="1"/>
    <x v="1"/>
    <n v="51542.45"/>
    <x v="0"/>
  </r>
  <r>
    <n v="103"/>
    <s v="Williams"/>
    <n v="651"/>
    <x v="1"/>
    <x v="0"/>
    <n v="49"/>
    <x v="5"/>
    <n v="100461.13"/>
    <x v="1"/>
    <x v="1"/>
    <x v="0"/>
    <n v="30554.85"/>
    <x v="0"/>
  </r>
  <r>
    <n v="104"/>
    <s v="Smith"/>
    <n v="483"/>
    <x v="0"/>
    <x v="1"/>
    <n v="40"/>
    <x v="10"/>
    <n v="199427.98"/>
    <x v="2"/>
    <x v="0"/>
    <x v="1"/>
    <n v="128540.03"/>
    <x v="1"/>
  </r>
  <r>
    <n v="105"/>
    <s v="Wilson"/>
    <n v="397"/>
    <x v="1"/>
    <x v="0"/>
    <n v="75"/>
    <x v="10"/>
    <n v="46.68"/>
    <x v="0"/>
    <x v="0"/>
    <x v="0"/>
    <n v="61080.02"/>
    <x v="1"/>
  </r>
  <r>
    <n v="106"/>
    <s v="Davis"/>
    <n v="537"/>
    <x v="2"/>
    <x v="1"/>
    <n v="39"/>
    <x v="1"/>
    <n v="238648.7"/>
    <x v="1"/>
    <x v="0"/>
    <x v="1"/>
    <n v="71498.5"/>
    <x v="1"/>
  </r>
  <r>
    <n v="107"/>
    <s v="Taylor"/>
    <n v="520"/>
    <x v="2"/>
    <x v="0"/>
    <n v="79"/>
    <x v="10"/>
    <n v="165628.62"/>
    <x v="3"/>
    <x v="1"/>
    <x v="0"/>
    <n v="144375.8"/>
    <x v="1"/>
  </r>
  <r>
    <n v="108"/>
    <s v="Smith"/>
    <n v="801"/>
    <x v="1"/>
    <x v="1"/>
    <n v="59"/>
    <x v="5"/>
    <n v="77661.96000000001"/>
    <x v="3"/>
    <x v="1"/>
    <x v="0"/>
    <n v="74188.75999999999"/>
    <x v="0"/>
  </r>
  <r>
    <n v="109"/>
    <s v="Williams"/>
    <n v="488"/>
    <x v="0"/>
    <x v="0"/>
    <n v="59"/>
    <x v="1"/>
    <n v="122455.34"/>
    <x v="2"/>
    <x v="1"/>
    <x v="1"/>
    <n v="21425.94"/>
    <x v="1"/>
  </r>
  <r>
    <n v="110"/>
    <s v="Wilson"/>
    <n v="592"/>
    <x v="1"/>
    <x v="0"/>
    <n v="41"/>
    <x v="8"/>
    <n v="66018.19"/>
    <x v="0"/>
    <x v="1"/>
    <x v="0"/>
    <n v="102543.92"/>
    <x v="0"/>
  </r>
  <r>
    <n v="111"/>
    <s v="Williams"/>
    <n v="663"/>
    <x v="2"/>
    <x v="1"/>
    <n v="70"/>
    <x v="2"/>
    <n v="108982.82"/>
    <x v="2"/>
    <x v="1"/>
    <x v="0"/>
    <n v="110349.05"/>
    <x v="1"/>
  </r>
  <r>
    <n v="112"/>
    <s v="Taylor"/>
    <n v="825"/>
    <x v="2"/>
    <x v="0"/>
    <n v="41"/>
    <x v="6"/>
    <n v="159554.78"/>
    <x v="0"/>
    <x v="1"/>
    <x v="1"/>
    <n v="75419.12"/>
    <x v="0"/>
  </r>
  <r>
    <n v="113"/>
    <s v="Williams"/>
    <n v="695"/>
    <x v="1"/>
    <x v="0"/>
    <n v="90"/>
    <x v="0"/>
    <n v="168519.32"/>
    <x v="3"/>
    <x v="0"/>
    <x v="0"/>
    <n v="108422.12"/>
    <x v="0"/>
  </r>
  <r>
    <n v="114"/>
    <s v="Jones"/>
    <n v="737"/>
    <x v="2"/>
    <x v="1"/>
    <n v="59"/>
    <x v="7"/>
    <n v="80693.34"/>
    <x v="2"/>
    <x v="1"/>
    <x v="1"/>
    <n v="65451.93"/>
    <x v="0"/>
  </r>
  <r>
    <n v="115"/>
    <s v="Jones"/>
    <n v="475"/>
    <x v="1"/>
    <x v="1"/>
    <n v="78"/>
    <x v="6"/>
    <n v="5741.56"/>
    <x v="0"/>
    <x v="1"/>
    <x v="1"/>
    <n v="136090.56"/>
    <x v="0"/>
  </r>
  <r>
    <n v="116"/>
    <s v="Williams"/>
    <n v="556"/>
    <x v="2"/>
    <x v="0"/>
    <n v="65"/>
    <x v="0"/>
    <n v="94298.58"/>
    <x v="1"/>
    <x v="0"/>
    <x v="0"/>
    <n v="117883.52"/>
    <x v="1"/>
  </r>
  <r>
    <n v="117"/>
    <s v="Jones"/>
    <n v="688"/>
    <x v="0"/>
    <x v="0"/>
    <n v="33"/>
    <x v="2"/>
    <n v="93844.5"/>
    <x v="2"/>
    <x v="0"/>
    <x v="0"/>
    <n v="49103.38"/>
    <x v="1"/>
  </r>
  <r>
    <n v="118"/>
    <s v="Brown"/>
    <n v="547"/>
    <x v="2"/>
    <x v="0"/>
    <n v="54"/>
    <x v="2"/>
    <n v="103006.1"/>
    <x v="3"/>
    <x v="0"/>
    <x v="1"/>
    <n v="76101.24000000001"/>
    <x v="1"/>
  </r>
  <r>
    <n v="119"/>
    <s v="Johnson"/>
    <n v="536"/>
    <x v="1"/>
    <x v="1"/>
    <n v="83"/>
    <x v="2"/>
    <n v="241431.37"/>
    <x v="2"/>
    <x v="0"/>
    <x v="1"/>
    <n v="111107.96"/>
    <x v="0"/>
  </r>
  <r>
    <n v="120"/>
    <s v="Williams"/>
    <n v="738"/>
    <x v="1"/>
    <x v="1"/>
    <n v="60"/>
    <x v="7"/>
    <n v="242524.24"/>
    <x v="3"/>
    <x v="0"/>
    <x v="0"/>
    <n v="84784.47"/>
    <x v="0"/>
  </r>
  <r>
    <n v="121"/>
    <s v="Taylor"/>
    <n v="367"/>
    <x v="0"/>
    <x v="0"/>
    <n v="18"/>
    <x v="9"/>
    <n v="37178.53"/>
    <x v="1"/>
    <x v="0"/>
    <x v="0"/>
    <n v="82791.57000000001"/>
    <x v="1"/>
  </r>
  <r>
    <n v="122"/>
    <s v="Johnson"/>
    <n v="547"/>
    <x v="2"/>
    <x v="0"/>
    <n v="24"/>
    <x v="8"/>
    <n v="228358.15"/>
    <x v="3"/>
    <x v="1"/>
    <x v="0"/>
    <n v="127955.4"/>
    <x v="1"/>
  </r>
  <r>
    <n v="123"/>
    <s v="Brown"/>
    <n v="797"/>
    <x v="1"/>
    <x v="0"/>
    <n v="85"/>
    <x v="4"/>
    <n v="244614.91"/>
    <x v="3"/>
    <x v="0"/>
    <x v="1"/>
    <n v="101378.44"/>
    <x v="0"/>
  </r>
  <r>
    <n v="124"/>
    <s v="Miller"/>
    <n v="700"/>
    <x v="2"/>
    <x v="0"/>
    <n v="49"/>
    <x v="3"/>
    <n v="64161.88"/>
    <x v="1"/>
    <x v="0"/>
    <x v="1"/>
    <n v="141665.95"/>
    <x v="1"/>
  </r>
  <r>
    <n v="125"/>
    <s v="Moore"/>
    <n v="502"/>
    <x v="0"/>
    <x v="1"/>
    <n v="47"/>
    <x v="4"/>
    <n v="185255.98"/>
    <x v="0"/>
    <x v="1"/>
    <x v="1"/>
    <n v="48022.06"/>
    <x v="1"/>
  </r>
  <r>
    <n v="126"/>
    <s v="Williams"/>
    <n v="481"/>
    <x v="1"/>
    <x v="0"/>
    <n v="34"/>
    <x v="9"/>
    <n v="43863.71"/>
    <x v="3"/>
    <x v="1"/>
    <x v="0"/>
    <n v="23962.59"/>
    <x v="0"/>
  </r>
  <r>
    <n v="127"/>
    <s v="Jones"/>
    <n v="675"/>
    <x v="0"/>
    <x v="0"/>
    <n v="85"/>
    <x v="1"/>
    <n v="117991.41"/>
    <x v="1"/>
    <x v="0"/>
    <x v="1"/>
    <n v="36037.63"/>
    <x v="0"/>
  </r>
  <r>
    <n v="128"/>
    <s v="Smith"/>
    <n v="774"/>
    <x v="1"/>
    <x v="1"/>
    <n v="44"/>
    <x v="0"/>
    <n v="151801.15"/>
    <x v="1"/>
    <x v="1"/>
    <x v="0"/>
    <n v="36575.88"/>
    <x v="1"/>
  </r>
  <r>
    <n v="129"/>
    <s v="Smith"/>
    <n v="514"/>
    <x v="2"/>
    <x v="1"/>
    <n v="24"/>
    <x v="4"/>
    <n v="44897.12"/>
    <x v="0"/>
    <x v="1"/>
    <x v="0"/>
    <n v="87587.83"/>
    <x v="0"/>
  </r>
  <r>
    <n v="130"/>
    <s v="Miller"/>
    <n v="408"/>
    <x v="1"/>
    <x v="1"/>
    <n v="29"/>
    <x v="7"/>
    <n v="136796.02"/>
    <x v="2"/>
    <x v="0"/>
    <x v="0"/>
    <n v="81668.89"/>
    <x v="0"/>
  </r>
  <r>
    <n v="131"/>
    <s v="Smith"/>
    <n v="527"/>
    <x v="0"/>
    <x v="1"/>
    <n v="73"/>
    <x v="8"/>
    <n v="184707.82"/>
    <x v="2"/>
    <x v="1"/>
    <x v="0"/>
    <n v="93162.75999999999"/>
    <x v="0"/>
  </r>
  <r>
    <n v="132"/>
    <s v="Miller"/>
    <n v="789"/>
    <x v="1"/>
    <x v="0"/>
    <n v="61"/>
    <x v="8"/>
    <n v="166854.44"/>
    <x v="2"/>
    <x v="1"/>
    <x v="1"/>
    <n v="38147.91"/>
    <x v="1"/>
  </r>
  <r>
    <n v="133"/>
    <s v="Jones"/>
    <n v="502"/>
    <x v="0"/>
    <x v="0"/>
    <n v="85"/>
    <x v="5"/>
    <n v="157686.62"/>
    <x v="0"/>
    <x v="0"/>
    <x v="0"/>
    <n v="43499.67"/>
    <x v="0"/>
  </r>
  <r>
    <n v="134"/>
    <s v="Jones"/>
    <n v="511"/>
    <x v="1"/>
    <x v="1"/>
    <n v="38"/>
    <x v="8"/>
    <n v="30108.06"/>
    <x v="3"/>
    <x v="0"/>
    <x v="1"/>
    <n v="17973.88"/>
    <x v="1"/>
  </r>
  <r>
    <n v="135"/>
    <s v="Moore"/>
    <n v="752"/>
    <x v="0"/>
    <x v="1"/>
    <n v="32"/>
    <x v="4"/>
    <n v="239097.38"/>
    <x v="1"/>
    <x v="0"/>
    <x v="1"/>
    <n v="13545.02"/>
    <x v="1"/>
  </r>
  <r>
    <n v="136"/>
    <s v="Moore"/>
    <n v="703"/>
    <x v="2"/>
    <x v="0"/>
    <n v="32"/>
    <x v="8"/>
    <n v="35229.26"/>
    <x v="3"/>
    <x v="0"/>
    <x v="0"/>
    <n v="59763.13"/>
    <x v="1"/>
  </r>
  <r>
    <n v="137"/>
    <s v="Moore"/>
    <n v="812"/>
    <x v="1"/>
    <x v="0"/>
    <n v="81"/>
    <x v="9"/>
    <n v="153059.5"/>
    <x v="2"/>
    <x v="1"/>
    <x v="1"/>
    <n v="114484.04"/>
    <x v="1"/>
  </r>
  <r>
    <n v="138"/>
    <s v="Williams"/>
    <n v="591"/>
    <x v="2"/>
    <x v="0"/>
    <n v="61"/>
    <x v="0"/>
    <n v="32382.85"/>
    <x v="2"/>
    <x v="1"/>
    <x v="1"/>
    <n v="108015.6"/>
    <x v="0"/>
  </r>
  <r>
    <n v="139"/>
    <s v="Jones"/>
    <n v="485"/>
    <x v="1"/>
    <x v="1"/>
    <n v="45"/>
    <x v="5"/>
    <n v="134925.83"/>
    <x v="1"/>
    <x v="0"/>
    <x v="0"/>
    <n v="103143.51"/>
    <x v="1"/>
  </r>
  <r>
    <n v="140"/>
    <s v="Williams"/>
    <n v="787"/>
    <x v="1"/>
    <x v="1"/>
    <n v="38"/>
    <x v="10"/>
    <n v="216858.41"/>
    <x v="1"/>
    <x v="1"/>
    <x v="1"/>
    <n v="13005.86"/>
    <x v="0"/>
  </r>
  <r>
    <n v="141"/>
    <s v="Smith"/>
    <n v="585"/>
    <x v="2"/>
    <x v="1"/>
    <n v="41"/>
    <x v="9"/>
    <n v="157571.36"/>
    <x v="3"/>
    <x v="1"/>
    <x v="0"/>
    <n v="142792.83"/>
    <x v="1"/>
  </r>
  <r>
    <n v="142"/>
    <s v="Moore"/>
    <n v="396"/>
    <x v="0"/>
    <x v="0"/>
    <n v="52"/>
    <x v="10"/>
    <n v="227146.67"/>
    <x v="3"/>
    <x v="1"/>
    <x v="0"/>
    <n v="57655.65"/>
    <x v="1"/>
  </r>
  <r>
    <n v="143"/>
    <s v="Moore"/>
    <n v="846"/>
    <x v="2"/>
    <x v="0"/>
    <n v="50"/>
    <x v="6"/>
    <n v="164636.07"/>
    <x v="2"/>
    <x v="0"/>
    <x v="0"/>
    <n v="70775.05"/>
    <x v="0"/>
  </r>
  <r>
    <n v="144"/>
    <s v="Jones"/>
    <n v="477"/>
    <x v="2"/>
    <x v="0"/>
    <n v="83"/>
    <x v="10"/>
    <n v="113849.92"/>
    <x v="1"/>
    <x v="0"/>
    <x v="1"/>
    <n v="122175.46"/>
    <x v="1"/>
  </r>
  <r>
    <n v="145"/>
    <s v="Moore"/>
    <n v="767"/>
    <x v="1"/>
    <x v="1"/>
    <n v="40"/>
    <x v="7"/>
    <n v="116715.57"/>
    <x v="1"/>
    <x v="1"/>
    <x v="0"/>
    <n v="22814.14"/>
    <x v="0"/>
  </r>
  <r>
    <n v="146"/>
    <s v="Williams"/>
    <n v="687"/>
    <x v="0"/>
    <x v="1"/>
    <n v="39"/>
    <x v="9"/>
    <n v="52909.38"/>
    <x v="2"/>
    <x v="1"/>
    <x v="1"/>
    <n v="34759.36"/>
    <x v="0"/>
  </r>
  <r>
    <n v="147"/>
    <s v="Moore"/>
    <n v="507"/>
    <x v="0"/>
    <x v="0"/>
    <n v="75"/>
    <x v="9"/>
    <n v="238465.26"/>
    <x v="2"/>
    <x v="1"/>
    <x v="1"/>
    <n v="55585.67"/>
    <x v="0"/>
  </r>
  <r>
    <n v="148"/>
    <s v="Brown"/>
    <n v="362"/>
    <x v="2"/>
    <x v="0"/>
    <n v="86"/>
    <x v="2"/>
    <n v="77731.5"/>
    <x v="2"/>
    <x v="1"/>
    <x v="1"/>
    <n v="128074.02"/>
    <x v="1"/>
  </r>
  <r>
    <n v="149"/>
    <s v="Jones"/>
    <n v="468"/>
    <x v="2"/>
    <x v="1"/>
    <n v="63"/>
    <x v="3"/>
    <n v="99986.47"/>
    <x v="2"/>
    <x v="0"/>
    <x v="1"/>
    <n v="106009.52"/>
    <x v="1"/>
  </r>
  <r>
    <n v="150"/>
    <s v="Smith"/>
    <n v="652"/>
    <x v="0"/>
    <x v="1"/>
    <n v="57"/>
    <x v="3"/>
    <n v="7447.39"/>
    <x v="3"/>
    <x v="1"/>
    <x v="0"/>
    <n v="60175.22"/>
    <x v="1"/>
  </r>
  <r>
    <n v="151"/>
    <s v="Brown"/>
    <n v="724"/>
    <x v="2"/>
    <x v="1"/>
    <n v="42"/>
    <x v="4"/>
    <n v="97001.53"/>
    <x v="0"/>
    <x v="1"/>
    <x v="0"/>
    <n v="140671.21"/>
    <x v="0"/>
  </r>
  <r>
    <n v="152"/>
    <s v="Jones"/>
    <n v="638"/>
    <x v="1"/>
    <x v="0"/>
    <n v="35"/>
    <x v="1"/>
    <n v="29176.44"/>
    <x v="2"/>
    <x v="0"/>
    <x v="1"/>
    <n v="119718.19"/>
    <x v="0"/>
  </r>
  <r>
    <n v="153"/>
    <s v="Miller"/>
    <n v="640"/>
    <x v="1"/>
    <x v="0"/>
    <n v="70"/>
    <x v="4"/>
    <n v="47856.39"/>
    <x v="1"/>
    <x v="1"/>
    <x v="1"/>
    <n v="11462.63"/>
    <x v="1"/>
  </r>
  <r>
    <n v="154"/>
    <s v="Taylor"/>
    <n v="465"/>
    <x v="2"/>
    <x v="1"/>
    <n v="26"/>
    <x v="7"/>
    <n v="197384.58"/>
    <x v="0"/>
    <x v="1"/>
    <x v="0"/>
    <n v="73040.67"/>
    <x v="1"/>
  </r>
  <r>
    <n v="155"/>
    <s v="Moore"/>
    <n v="437"/>
    <x v="1"/>
    <x v="0"/>
    <n v="23"/>
    <x v="10"/>
    <n v="118047.52"/>
    <x v="2"/>
    <x v="1"/>
    <x v="1"/>
    <n v="69509.75999999999"/>
    <x v="1"/>
  </r>
  <r>
    <n v="156"/>
    <s v="Smith"/>
    <n v="474"/>
    <x v="0"/>
    <x v="1"/>
    <n v="28"/>
    <x v="6"/>
    <n v="209434.77"/>
    <x v="3"/>
    <x v="1"/>
    <x v="0"/>
    <n v="42983.99"/>
    <x v="0"/>
  </r>
  <r>
    <n v="157"/>
    <s v="Moore"/>
    <n v="759"/>
    <x v="2"/>
    <x v="0"/>
    <n v="80"/>
    <x v="2"/>
    <n v="80712.23"/>
    <x v="2"/>
    <x v="0"/>
    <x v="0"/>
    <n v="49445.48"/>
    <x v="1"/>
  </r>
  <r>
    <n v="158"/>
    <s v="Davis"/>
    <n v="524"/>
    <x v="1"/>
    <x v="0"/>
    <n v="47"/>
    <x v="7"/>
    <n v="95799.03"/>
    <x v="2"/>
    <x v="1"/>
    <x v="1"/>
    <n v="105598.56"/>
    <x v="0"/>
  </r>
  <r>
    <n v="159"/>
    <s v="Taylor"/>
    <n v="848"/>
    <x v="2"/>
    <x v="0"/>
    <n v="29"/>
    <x v="5"/>
    <n v="208033.65"/>
    <x v="2"/>
    <x v="0"/>
    <x v="1"/>
    <n v="43662.79"/>
    <x v="1"/>
  </r>
  <r>
    <n v="160"/>
    <s v="Smith"/>
    <n v="713"/>
    <x v="0"/>
    <x v="1"/>
    <n v="48"/>
    <x v="9"/>
    <n v="16907.88"/>
    <x v="0"/>
    <x v="1"/>
    <x v="0"/>
    <n v="113646.28"/>
    <x v="1"/>
  </r>
  <r>
    <n v="161"/>
    <s v="Taylor"/>
    <n v="402"/>
    <x v="1"/>
    <x v="0"/>
    <n v="89"/>
    <x v="0"/>
    <n v="205105.61"/>
    <x v="0"/>
    <x v="0"/>
    <x v="0"/>
    <n v="75716.98"/>
    <x v="1"/>
  </r>
  <r>
    <n v="162"/>
    <s v="Miller"/>
    <n v="839"/>
    <x v="0"/>
    <x v="1"/>
    <n v="76"/>
    <x v="0"/>
    <n v="51347.49"/>
    <x v="2"/>
    <x v="1"/>
    <x v="1"/>
    <n v="21151.48"/>
    <x v="0"/>
  </r>
  <r>
    <n v="163"/>
    <s v="Davis"/>
    <n v="460"/>
    <x v="2"/>
    <x v="0"/>
    <n v="60"/>
    <x v="1"/>
    <n v="163732.6"/>
    <x v="1"/>
    <x v="0"/>
    <x v="0"/>
    <n v="66914.64999999999"/>
    <x v="0"/>
  </r>
  <r>
    <n v="164"/>
    <s v="Jones"/>
    <n v="414"/>
    <x v="2"/>
    <x v="1"/>
    <n v="89"/>
    <x v="8"/>
    <n v="133217.37"/>
    <x v="1"/>
    <x v="1"/>
    <x v="1"/>
    <n v="120812.2"/>
    <x v="1"/>
  </r>
  <r>
    <n v="165"/>
    <s v="Johnson"/>
    <n v="682"/>
    <x v="1"/>
    <x v="1"/>
    <n v="43"/>
    <x v="10"/>
    <n v="197321.37"/>
    <x v="2"/>
    <x v="1"/>
    <x v="0"/>
    <n v="28096.07"/>
    <x v="1"/>
  </r>
  <r>
    <n v="166"/>
    <s v="Moore"/>
    <n v="724"/>
    <x v="0"/>
    <x v="1"/>
    <n v="72"/>
    <x v="2"/>
    <n v="191624.47"/>
    <x v="0"/>
    <x v="1"/>
    <x v="0"/>
    <n v="80375.98"/>
    <x v="0"/>
  </r>
  <r>
    <n v="167"/>
    <s v="Smith"/>
    <n v="423"/>
    <x v="2"/>
    <x v="1"/>
    <n v="43"/>
    <x v="10"/>
    <n v="143851"/>
    <x v="1"/>
    <x v="1"/>
    <x v="1"/>
    <n v="36084.61"/>
    <x v="1"/>
  </r>
  <r>
    <n v="168"/>
    <s v="Brown"/>
    <n v="496"/>
    <x v="0"/>
    <x v="1"/>
    <n v="63"/>
    <x v="2"/>
    <n v="145172.32"/>
    <x v="0"/>
    <x v="1"/>
    <x v="0"/>
    <n v="139690.22"/>
    <x v="1"/>
  </r>
  <r>
    <n v="169"/>
    <s v="Taylor"/>
    <n v="610"/>
    <x v="0"/>
    <x v="0"/>
    <n v="21"/>
    <x v="8"/>
    <n v="183590.26"/>
    <x v="0"/>
    <x v="0"/>
    <x v="1"/>
    <n v="86790.47"/>
    <x v="0"/>
  </r>
  <r>
    <n v="170"/>
    <s v="Miller"/>
    <n v="613"/>
    <x v="1"/>
    <x v="0"/>
    <n v="55"/>
    <x v="7"/>
    <n v="152640.81"/>
    <x v="2"/>
    <x v="0"/>
    <x v="0"/>
    <n v="33137.16"/>
    <x v="0"/>
  </r>
  <r>
    <n v="171"/>
    <s v="Davis"/>
    <n v="481"/>
    <x v="0"/>
    <x v="1"/>
    <n v="51"/>
    <x v="4"/>
    <n v="139747.91"/>
    <x v="2"/>
    <x v="0"/>
    <x v="1"/>
    <n v="88266.73"/>
    <x v="0"/>
  </r>
  <r>
    <n v="172"/>
    <s v="Wilson"/>
    <n v="398"/>
    <x v="2"/>
    <x v="1"/>
    <n v="78"/>
    <x v="3"/>
    <n v="124423.84"/>
    <x v="2"/>
    <x v="0"/>
    <x v="1"/>
    <n v="144202.79"/>
    <x v="1"/>
  </r>
  <r>
    <n v="173"/>
    <s v="Moore"/>
    <n v="426"/>
    <x v="2"/>
    <x v="1"/>
    <n v="25"/>
    <x v="3"/>
    <n v="239377.45"/>
    <x v="2"/>
    <x v="1"/>
    <x v="1"/>
    <n v="126167.25"/>
    <x v="0"/>
  </r>
  <r>
    <n v="174"/>
    <s v="Moore"/>
    <n v="643"/>
    <x v="1"/>
    <x v="0"/>
    <n v="78"/>
    <x v="5"/>
    <n v="55309.99"/>
    <x v="3"/>
    <x v="1"/>
    <x v="1"/>
    <n v="57614.96"/>
    <x v="1"/>
  </r>
  <r>
    <n v="175"/>
    <s v="Taylor"/>
    <n v="466"/>
    <x v="0"/>
    <x v="1"/>
    <n v="55"/>
    <x v="0"/>
    <n v="109273.56"/>
    <x v="0"/>
    <x v="0"/>
    <x v="0"/>
    <n v="114104.65"/>
    <x v="1"/>
  </r>
  <r>
    <n v="176"/>
    <s v="Williams"/>
    <n v="843"/>
    <x v="2"/>
    <x v="0"/>
    <n v="34"/>
    <x v="2"/>
    <n v="104696.85"/>
    <x v="3"/>
    <x v="1"/>
    <x v="0"/>
    <n v="106102.67"/>
    <x v="1"/>
  </r>
  <r>
    <n v="177"/>
    <s v="Moore"/>
    <n v="398"/>
    <x v="2"/>
    <x v="1"/>
    <n v="63"/>
    <x v="4"/>
    <n v="146639.1"/>
    <x v="1"/>
    <x v="0"/>
    <x v="0"/>
    <n v="114757.22"/>
    <x v="1"/>
  </r>
  <r>
    <n v="178"/>
    <s v="Miller"/>
    <n v="459"/>
    <x v="1"/>
    <x v="0"/>
    <n v="57"/>
    <x v="5"/>
    <n v="170945.73"/>
    <x v="0"/>
    <x v="1"/>
    <x v="0"/>
    <n v="77687.86"/>
    <x v="0"/>
  </r>
  <r>
    <n v="179"/>
    <s v="Miller"/>
    <n v="816"/>
    <x v="0"/>
    <x v="1"/>
    <n v="51"/>
    <x v="10"/>
    <n v="55692.78"/>
    <x v="3"/>
    <x v="1"/>
    <x v="0"/>
    <n v="138662.49"/>
    <x v="1"/>
  </r>
  <r>
    <n v="180"/>
    <s v="Taylor"/>
    <n v="529"/>
    <x v="0"/>
    <x v="0"/>
    <n v="83"/>
    <x v="5"/>
    <n v="140464.4"/>
    <x v="3"/>
    <x v="0"/>
    <x v="0"/>
    <n v="62160.12"/>
    <x v="1"/>
  </r>
  <r>
    <n v="181"/>
    <s v="Johnson"/>
    <n v="399"/>
    <x v="0"/>
    <x v="0"/>
    <n v="91"/>
    <x v="9"/>
    <n v="230097.2"/>
    <x v="2"/>
    <x v="1"/>
    <x v="0"/>
    <n v="144755.61"/>
    <x v="0"/>
  </r>
  <r>
    <n v="182"/>
    <s v="Miller"/>
    <n v="421"/>
    <x v="2"/>
    <x v="1"/>
    <n v="86"/>
    <x v="9"/>
    <n v="58586.77"/>
    <x v="2"/>
    <x v="1"/>
    <x v="0"/>
    <n v="27139.72"/>
    <x v="1"/>
  </r>
  <r>
    <n v="183"/>
    <s v="Moore"/>
    <n v="696"/>
    <x v="2"/>
    <x v="1"/>
    <n v="42"/>
    <x v="4"/>
    <n v="27700.99"/>
    <x v="3"/>
    <x v="1"/>
    <x v="0"/>
    <n v="140547.93"/>
    <x v="0"/>
  </r>
  <r>
    <n v="184"/>
    <s v="Moore"/>
    <n v="783"/>
    <x v="1"/>
    <x v="1"/>
    <n v="24"/>
    <x v="7"/>
    <n v="69808.10000000001"/>
    <x v="0"/>
    <x v="0"/>
    <x v="0"/>
    <n v="116721.45"/>
    <x v="0"/>
  </r>
  <r>
    <n v="185"/>
    <s v="Jones"/>
    <n v="844"/>
    <x v="2"/>
    <x v="1"/>
    <n v="78"/>
    <x v="5"/>
    <n v="138185.18"/>
    <x v="1"/>
    <x v="1"/>
    <x v="0"/>
    <n v="143728.42"/>
    <x v="0"/>
  </r>
  <r>
    <n v="186"/>
    <s v="Williams"/>
    <n v="635"/>
    <x v="1"/>
    <x v="0"/>
    <n v="79"/>
    <x v="4"/>
    <n v="113120.37"/>
    <x v="0"/>
    <x v="0"/>
    <x v="0"/>
    <n v="87508.69"/>
    <x v="0"/>
  </r>
  <r>
    <n v="187"/>
    <s v="Jones"/>
    <n v="353"/>
    <x v="1"/>
    <x v="0"/>
    <n v="77"/>
    <x v="0"/>
    <n v="110096.43"/>
    <x v="2"/>
    <x v="0"/>
    <x v="0"/>
    <n v="141135.62"/>
    <x v="1"/>
  </r>
  <r>
    <n v="188"/>
    <s v="Miller"/>
    <n v="424"/>
    <x v="0"/>
    <x v="0"/>
    <n v="47"/>
    <x v="2"/>
    <n v="163549.64"/>
    <x v="1"/>
    <x v="0"/>
    <x v="0"/>
    <n v="33745.43"/>
    <x v="1"/>
  </r>
  <r>
    <n v="189"/>
    <s v="Jones"/>
    <n v="434"/>
    <x v="1"/>
    <x v="0"/>
    <n v="46"/>
    <x v="2"/>
    <n v="229121.35"/>
    <x v="3"/>
    <x v="0"/>
    <x v="0"/>
    <n v="14185.62"/>
    <x v="0"/>
  </r>
  <r>
    <n v="190"/>
    <s v="Miller"/>
    <n v="840"/>
    <x v="0"/>
    <x v="0"/>
    <n v="42"/>
    <x v="4"/>
    <n v="46465.66"/>
    <x v="0"/>
    <x v="0"/>
    <x v="1"/>
    <n v="108093.18"/>
    <x v="1"/>
  </r>
  <r>
    <n v="191"/>
    <s v="Davis"/>
    <n v="671"/>
    <x v="0"/>
    <x v="0"/>
    <n v="21"/>
    <x v="7"/>
    <n v="87143.41"/>
    <x v="3"/>
    <x v="1"/>
    <x v="0"/>
    <n v="130888.76"/>
    <x v="1"/>
  </r>
  <r>
    <n v="192"/>
    <s v="Wilson"/>
    <n v="725"/>
    <x v="2"/>
    <x v="1"/>
    <n v="39"/>
    <x v="6"/>
    <n v="96291.25"/>
    <x v="1"/>
    <x v="1"/>
    <x v="0"/>
    <n v="135564.73"/>
    <x v="0"/>
  </r>
  <r>
    <n v="193"/>
    <s v="Smith"/>
    <n v="370"/>
    <x v="2"/>
    <x v="0"/>
    <n v="24"/>
    <x v="2"/>
    <n v="38342.59"/>
    <x v="3"/>
    <x v="1"/>
    <x v="1"/>
    <n v="18606.01"/>
    <x v="0"/>
  </r>
  <r>
    <n v="194"/>
    <s v="Moore"/>
    <n v="558"/>
    <x v="1"/>
    <x v="0"/>
    <n v="39"/>
    <x v="10"/>
    <n v="222626.19"/>
    <x v="3"/>
    <x v="1"/>
    <x v="0"/>
    <n v="59452.54"/>
    <x v="1"/>
  </r>
  <r>
    <n v="195"/>
    <s v="Brown"/>
    <n v="392"/>
    <x v="1"/>
    <x v="0"/>
    <n v="45"/>
    <x v="10"/>
    <n v="233110.85"/>
    <x v="1"/>
    <x v="1"/>
    <x v="0"/>
    <n v="72202.64999999999"/>
    <x v="1"/>
  </r>
  <r>
    <n v="196"/>
    <s v="Miller"/>
    <n v="848"/>
    <x v="1"/>
    <x v="1"/>
    <n v="44"/>
    <x v="1"/>
    <n v="249802"/>
    <x v="1"/>
    <x v="0"/>
    <x v="0"/>
    <n v="139671.38"/>
    <x v="1"/>
  </r>
  <r>
    <n v="197"/>
    <s v="Davis"/>
    <n v="378"/>
    <x v="1"/>
    <x v="0"/>
    <n v="82"/>
    <x v="10"/>
    <n v="59302.02"/>
    <x v="3"/>
    <x v="1"/>
    <x v="1"/>
    <n v="51011.37"/>
    <x v="0"/>
  </r>
  <r>
    <n v="198"/>
    <s v="Moore"/>
    <n v="760"/>
    <x v="2"/>
    <x v="1"/>
    <n v="21"/>
    <x v="8"/>
    <n v="17937.98"/>
    <x v="1"/>
    <x v="1"/>
    <x v="0"/>
    <n v="106372.6"/>
    <x v="0"/>
  </r>
  <r>
    <n v="199"/>
    <s v="Williams"/>
    <n v="693"/>
    <x v="1"/>
    <x v="0"/>
    <n v="71"/>
    <x v="4"/>
    <n v="37093.39"/>
    <x v="0"/>
    <x v="0"/>
    <x v="0"/>
    <n v="40784.48"/>
    <x v="1"/>
  </r>
  <r>
    <n v="200"/>
    <s v="Jones"/>
    <n v="530"/>
    <x v="0"/>
    <x v="0"/>
    <n v="55"/>
    <x v="7"/>
    <n v="205216.41"/>
    <x v="0"/>
    <x v="1"/>
    <x v="0"/>
    <n v="95781.75"/>
    <x v="1"/>
  </r>
  <r>
    <n v="201"/>
    <s v="Taylor"/>
    <n v="654"/>
    <x v="2"/>
    <x v="1"/>
    <n v="25"/>
    <x v="2"/>
    <n v="232419.55"/>
    <x v="1"/>
    <x v="0"/>
    <x v="1"/>
    <n v="25837.27"/>
    <x v="1"/>
  </r>
  <r>
    <n v="202"/>
    <s v="Wilson"/>
    <n v="800"/>
    <x v="0"/>
    <x v="0"/>
    <n v="29"/>
    <x v="3"/>
    <n v="88974.52"/>
    <x v="2"/>
    <x v="0"/>
    <x v="1"/>
    <n v="115636.53"/>
    <x v="0"/>
  </r>
  <r>
    <n v="203"/>
    <s v="Davis"/>
    <n v="452"/>
    <x v="1"/>
    <x v="0"/>
    <n v="20"/>
    <x v="4"/>
    <n v="240624.04"/>
    <x v="0"/>
    <x v="1"/>
    <x v="0"/>
    <n v="16236.92"/>
    <x v="1"/>
  </r>
  <r>
    <n v="204"/>
    <s v="Jones"/>
    <n v="615"/>
    <x v="2"/>
    <x v="1"/>
    <n v="72"/>
    <x v="2"/>
    <n v="199237.9"/>
    <x v="3"/>
    <x v="1"/>
    <x v="0"/>
    <n v="149768.05"/>
    <x v="1"/>
  </r>
  <r>
    <n v="205"/>
    <s v="Brown"/>
    <n v="608"/>
    <x v="0"/>
    <x v="1"/>
    <n v="23"/>
    <x v="1"/>
    <n v="88373.17999999999"/>
    <x v="1"/>
    <x v="1"/>
    <x v="0"/>
    <n v="122196.71"/>
    <x v="0"/>
  </r>
  <r>
    <n v="206"/>
    <s v="Davis"/>
    <n v="722"/>
    <x v="2"/>
    <x v="0"/>
    <n v="35"/>
    <x v="0"/>
    <n v="212738.23"/>
    <x v="2"/>
    <x v="0"/>
    <x v="1"/>
    <n v="95777.53"/>
    <x v="1"/>
  </r>
  <r>
    <n v="207"/>
    <s v="Jones"/>
    <n v="714"/>
    <x v="0"/>
    <x v="0"/>
    <n v="23"/>
    <x v="6"/>
    <n v="160251.42"/>
    <x v="0"/>
    <x v="0"/>
    <x v="0"/>
    <n v="117590.06"/>
    <x v="1"/>
  </r>
  <r>
    <n v="208"/>
    <s v="Jones"/>
    <n v="583"/>
    <x v="2"/>
    <x v="1"/>
    <n v="48"/>
    <x v="5"/>
    <n v="111620.9"/>
    <x v="1"/>
    <x v="0"/>
    <x v="1"/>
    <n v="10423.71"/>
    <x v="1"/>
  </r>
  <r>
    <n v="209"/>
    <s v="Wilson"/>
    <n v="695"/>
    <x v="0"/>
    <x v="1"/>
    <n v="21"/>
    <x v="5"/>
    <n v="112981.4"/>
    <x v="2"/>
    <x v="1"/>
    <x v="1"/>
    <n v="69975.32000000001"/>
    <x v="0"/>
  </r>
  <r>
    <n v="210"/>
    <s v="Taylor"/>
    <n v="730"/>
    <x v="0"/>
    <x v="1"/>
    <n v="18"/>
    <x v="4"/>
    <n v="240529.94"/>
    <x v="0"/>
    <x v="0"/>
    <x v="0"/>
    <n v="93107.10000000001"/>
    <x v="0"/>
  </r>
  <r>
    <n v="211"/>
    <s v="Taylor"/>
    <n v="723"/>
    <x v="0"/>
    <x v="1"/>
    <n v="62"/>
    <x v="2"/>
    <n v="73255.71000000001"/>
    <x v="1"/>
    <x v="0"/>
    <x v="0"/>
    <n v="146668.19"/>
    <x v="0"/>
  </r>
  <r>
    <n v="212"/>
    <s v="Taylor"/>
    <n v="450"/>
    <x v="2"/>
    <x v="0"/>
    <n v="62"/>
    <x v="2"/>
    <n v="167423.71"/>
    <x v="2"/>
    <x v="1"/>
    <x v="1"/>
    <n v="61220.89"/>
    <x v="1"/>
  </r>
  <r>
    <n v="213"/>
    <s v="Wilson"/>
    <n v="440"/>
    <x v="0"/>
    <x v="0"/>
    <n v="79"/>
    <x v="5"/>
    <n v="201052.55"/>
    <x v="3"/>
    <x v="1"/>
    <x v="0"/>
    <n v="145868.74"/>
    <x v="0"/>
  </r>
  <r>
    <n v="214"/>
    <s v="Jones"/>
    <n v="418"/>
    <x v="0"/>
    <x v="1"/>
    <n v="18"/>
    <x v="7"/>
    <n v="96345.86"/>
    <x v="2"/>
    <x v="0"/>
    <x v="0"/>
    <n v="82176.89999999999"/>
    <x v="0"/>
  </r>
  <r>
    <n v="215"/>
    <s v="Williams"/>
    <n v="455"/>
    <x v="1"/>
    <x v="0"/>
    <n v="35"/>
    <x v="10"/>
    <n v="116072.5"/>
    <x v="2"/>
    <x v="1"/>
    <x v="0"/>
    <n v="19713.43"/>
    <x v="0"/>
  </r>
  <r>
    <n v="216"/>
    <s v="Jones"/>
    <n v="360"/>
    <x v="0"/>
    <x v="1"/>
    <n v="47"/>
    <x v="5"/>
    <n v="160567.84"/>
    <x v="3"/>
    <x v="0"/>
    <x v="0"/>
    <n v="96310.13"/>
    <x v="1"/>
  </r>
  <r>
    <n v="217"/>
    <s v="Taylor"/>
    <n v="362"/>
    <x v="1"/>
    <x v="1"/>
    <n v="52"/>
    <x v="3"/>
    <n v="146945.31"/>
    <x v="2"/>
    <x v="0"/>
    <x v="0"/>
    <n v="125091.68"/>
    <x v="0"/>
  </r>
  <r>
    <n v="218"/>
    <s v="Wilson"/>
    <n v="454"/>
    <x v="2"/>
    <x v="0"/>
    <n v="77"/>
    <x v="7"/>
    <n v="183306.47"/>
    <x v="1"/>
    <x v="0"/>
    <x v="1"/>
    <n v="134198.83"/>
    <x v="1"/>
  </r>
  <r>
    <n v="219"/>
    <s v="Wilson"/>
    <n v="575"/>
    <x v="0"/>
    <x v="1"/>
    <n v="39"/>
    <x v="1"/>
    <n v="213911.63"/>
    <x v="0"/>
    <x v="1"/>
    <x v="1"/>
    <n v="84036.97"/>
    <x v="1"/>
  </r>
  <r>
    <n v="220"/>
    <s v="Davis"/>
    <n v="771"/>
    <x v="2"/>
    <x v="1"/>
    <n v="81"/>
    <x v="1"/>
    <n v="135435.83"/>
    <x v="0"/>
    <x v="1"/>
    <x v="1"/>
    <n v="72274.3"/>
    <x v="0"/>
  </r>
  <r>
    <n v="221"/>
    <s v="Johnson"/>
    <n v="517"/>
    <x v="1"/>
    <x v="0"/>
    <n v="35"/>
    <x v="7"/>
    <n v="239854.9"/>
    <x v="1"/>
    <x v="0"/>
    <x v="1"/>
    <n v="99332.87"/>
    <x v="0"/>
  </r>
  <r>
    <n v="222"/>
    <s v="Williams"/>
    <n v="766"/>
    <x v="1"/>
    <x v="0"/>
    <n v="56"/>
    <x v="1"/>
    <n v="70283.89999999999"/>
    <x v="0"/>
    <x v="0"/>
    <x v="0"/>
    <n v="18737.27"/>
    <x v="0"/>
  </r>
  <r>
    <n v="223"/>
    <s v="Williams"/>
    <n v="728"/>
    <x v="2"/>
    <x v="1"/>
    <n v="19"/>
    <x v="8"/>
    <n v="16689.2"/>
    <x v="0"/>
    <x v="0"/>
    <x v="1"/>
    <n v="141842.12"/>
    <x v="1"/>
  </r>
  <r>
    <n v="224"/>
    <s v="Moore"/>
    <n v="639"/>
    <x v="0"/>
    <x v="0"/>
    <n v="33"/>
    <x v="1"/>
    <n v="96088.42999999999"/>
    <x v="1"/>
    <x v="0"/>
    <x v="0"/>
    <n v="43587.17"/>
    <x v="0"/>
  </r>
  <r>
    <n v="225"/>
    <s v="Johnson"/>
    <n v="760"/>
    <x v="2"/>
    <x v="0"/>
    <n v="35"/>
    <x v="10"/>
    <n v="241023.24"/>
    <x v="2"/>
    <x v="1"/>
    <x v="0"/>
    <n v="97832.3"/>
    <x v="0"/>
  </r>
  <r>
    <n v="226"/>
    <s v="Davis"/>
    <n v="449"/>
    <x v="1"/>
    <x v="0"/>
    <n v="71"/>
    <x v="10"/>
    <n v="190983.34"/>
    <x v="0"/>
    <x v="1"/>
    <x v="1"/>
    <n v="94496.24000000001"/>
    <x v="0"/>
  </r>
  <r>
    <n v="227"/>
    <s v="Moore"/>
    <n v="567"/>
    <x v="1"/>
    <x v="0"/>
    <n v="40"/>
    <x v="6"/>
    <n v="49223"/>
    <x v="3"/>
    <x v="1"/>
    <x v="1"/>
    <n v="111037.23"/>
    <x v="0"/>
  </r>
  <r>
    <n v="228"/>
    <s v="Brown"/>
    <n v="656"/>
    <x v="0"/>
    <x v="0"/>
    <n v="65"/>
    <x v="2"/>
    <n v="244926.41"/>
    <x v="0"/>
    <x v="1"/>
    <x v="1"/>
    <n v="129494.46"/>
    <x v="1"/>
  </r>
  <r>
    <n v="229"/>
    <s v="Smith"/>
    <n v="694"/>
    <x v="1"/>
    <x v="0"/>
    <n v="84"/>
    <x v="9"/>
    <n v="175604.34"/>
    <x v="2"/>
    <x v="1"/>
    <x v="1"/>
    <n v="45375.97"/>
    <x v="1"/>
  </r>
  <r>
    <n v="230"/>
    <s v="Williams"/>
    <n v="560"/>
    <x v="0"/>
    <x v="1"/>
    <n v="29"/>
    <x v="5"/>
    <n v="199808.98"/>
    <x v="1"/>
    <x v="0"/>
    <x v="1"/>
    <n v="38969.33"/>
    <x v="1"/>
  </r>
  <r>
    <n v="231"/>
    <s v="Davis"/>
    <n v="626"/>
    <x v="0"/>
    <x v="0"/>
    <n v="27"/>
    <x v="10"/>
    <n v="13467.28"/>
    <x v="1"/>
    <x v="1"/>
    <x v="0"/>
    <n v="114472.4"/>
    <x v="1"/>
  </r>
  <r>
    <n v="232"/>
    <s v="Davis"/>
    <n v="572"/>
    <x v="0"/>
    <x v="1"/>
    <n v="58"/>
    <x v="6"/>
    <n v="180664.35"/>
    <x v="1"/>
    <x v="0"/>
    <x v="1"/>
    <n v="36108.42"/>
    <x v="0"/>
  </r>
  <r>
    <n v="233"/>
    <s v="Smith"/>
    <n v="506"/>
    <x v="1"/>
    <x v="1"/>
    <n v="72"/>
    <x v="6"/>
    <n v="120906.58"/>
    <x v="3"/>
    <x v="0"/>
    <x v="0"/>
    <n v="143845.99"/>
    <x v="1"/>
  </r>
  <r>
    <n v="234"/>
    <s v="Moore"/>
    <n v="422"/>
    <x v="2"/>
    <x v="1"/>
    <n v="69"/>
    <x v="9"/>
    <n v="198731.58"/>
    <x v="0"/>
    <x v="0"/>
    <x v="0"/>
    <n v="37615.84"/>
    <x v="1"/>
  </r>
  <r>
    <n v="235"/>
    <s v="Johnson"/>
    <n v="624"/>
    <x v="2"/>
    <x v="0"/>
    <n v="65"/>
    <x v="8"/>
    <n v="179014.43"/>
    <x v="1"/>
    <x v="0"/>
    <x v="0"/>
    <n v="83705.74000000001"/>
    <x v="1"/>
  </r>
  <r>
    <n v="236"/>
    <s v="Johnson"/>
    <n v="759"/>
    <x v="1"/>
    <x v="0"/>
    <n v="22"/>
    <x v="6"/>
    <n v="44104.69"/>
    <x v="2"/>
    <x v="0"/>
    <x v="1"/>
    <n v="101878.09"/>
    <x v="1"/>
  </r>
  <r>
    <n v="237"/>
    <s v="Smith"/>
    <n v="758"/>
    <x v="2"/>
    <x v="1"/>
    <n v="28"/>
    <x v="3"/>
    <n v="229680.01"/>
    <x v="1"/>
    <x v="0"/>
    <x v="0"/>
    <n v="33894.09"/>
    <x v="0"/>
  </r>
  <r>
    <n v="238"/>
    <s v="Jones"/>
    <n v="389"/>
    <x v="2"/>
    <x v="1"/>
    <n v="24"/>
    <x v="1"/>
    <n v="144426.62"/>
    <x v="1"/>
    <x v="0"/>
    <x v="0"/>
    <n v="64031.99"/>
    <x v="0"/>
  </r>
  <r>
    <n v="239"/>
    <s v="Moore"/>
    <n v="584"/>
    <x v="1"/>
    <x v="1"/>
    <n v="62"/>
    <x v="7"/>
    <n v="96431.53"/>
    <x v="0"/>
    <x v="0"/>
    <x v="1"/>
    <n v="119070.68"/>
    <x v="0"/>
  </r>
  <r>
    <n v="240"/>
    <s v="Moore"/>
    <n v="473"/>
    <x v="2"/>
    <x v="1"/>
    <n v="90"/>
    <x v="2"/>
    <n v="56926.6"/>
    <x v="0"/>
    <x v="1"/>
    <x v="0"/>
    <n v="52021.75"/>
    <x v="1"/>
  </r>
  <r>
    <n v="241"/>
    <s v="Brown"/>
    <n v="634"/>
    <x v="1"/>
    <x v="0"/>
    <n v="26"/>
    <x v="9"/>
    <n v="195884.8"/>
    <x v="0"/>
    <x v="1"/>
    <x v="1"/>
    <n v="58187.74"/>
    <x v="1"/>
  </r>
  <r>
    <n v="242"/>
    <s v="Brown"/>
    <n v="502"/>
    <x v="0"/>
    <x v="1"/>
    <n v="90"/>
    <x v="2"/>
    <n v="242675.6"/>
    <x v="2"/>
    <x v="0"/>
    <x v="0"/>
    <n v="38576.97"/>
    <x v="1"/>
  </r>
  <r>
    <n v="243"/>
    <s v="Smith"/>
    <n v="496"/>
    <x v="0"/>
    <x v="0"/>
    <n v="36"/>
    <x v="1"/>
    <n v="183880.09"/>
    <x v="0"/>
    <x v="0"/>
    <x v="1"/>
    <n v="116196.88"/>
    <x v="0"/>
  </r>
  <r>
    <n v="244"/>
    <s v="Taylor"/>
    <n v="545"/>
    <x v="2"/>
    <x v="1"/>
    <n v="20"/>
    <x v="8"/>
    <n v="152465.9"/>
    <x v="0"/>
    <x v="0"/>
    <x v="1"/>
    <n v="43527.09"/>
    <x v="0"/>
  </r>
  <r>
    <n v="245"/>
    <s v="Jones"/>
    <n v="522"/>
    <x v="1"/>
    <x v="0"/>
    <n v="87"/>
    <x v="6"/>
    <n v="237584.05"/>
    <x v="0"/>
    <x v="0"/>
    <x v="1"/>
    <n v="47917.63"/>
    <x v="1"/>
  </r>
  <r>
    <n v="246"/>
    <s v="Wilson"/>
    <n v="561"/>
    <x v="0"/>
    <x v="0"/>
    <n v="47"/>
    <x v="9"/>
    <n v="177892.9"/>
    <x v="1"/>
    <x v="1"/>
    <x v="0"/>
    <n v="78723.14999999999"/>
    <x v="1"/>
  </r>
  <r>
    <n v="247"/>
    <s v="Jones"/>
    <n v="651"/>
    <x v="1"/>
    <x v="1"/>
    <n v="45"/>
    <x v="4"/>
    <n v="114118.16"/>
    <x v="2"/>
    <x v="1"/>
    <x v="0"/>
    <n v="36850.7"/>
    <x v="0"/>
  </r>
  <r>
    <n v="248"/>
    <s v="Williams"/>
    <n v="660"/>
    <x v="1"/>
    <x v="1"/>
    <n v="35"/>
    <x v="10"/>
    <n v="80413.46000000001"/>
    <x v="3"/>
    <x v="1"/>
    <x v="1"/>
    <n v="42147.48"/>
    <x v="0"/>
  </r>
  <r>
    <n v="249"/>
    <s v="Johnson"/>
    <n v="350"/>
    <x v="1"/>
    <x v="1"/>
    <n v="76"/>
    <x v="1"/>
    <n v="47176.34"/>
    <x v="2"/>
    <x v="0"/>
    <x v="1"/>
    <n v="139671.97"/>
    <x v="0"/>
  </r>
  <r>
    <n v="250"/>
    <s v="Johnson"/>
    <n v="488"/>
    <x v="2"/>
    <x v="1"/>
    <n v="29"/>
    <x v="4"/>
    <n v="218420.19"/>
    <x v="1"/>
    <x v="0"/>
    <x v="0"/>
    <n v="122291.38"/>
    <x v="0"/>
  </r>
  <r>
    <n v="251"/>
    <s v="Williams"/>
    <n v="545"/>
    <x v="0"/>
    <x v="0"/>
    <n v="67"/>
    <x v="10"/>
    <n v="180722.3"/>
    <x v="3"/>
    <x v="0"/>
    <x v="1"/>
    <n v="47605.64"/>
    <x v="0"/>
  </r>
  <r>
    <n v="252"/>
    <s v="Johnson"/>
    <n v="740"/>
    <x v="2"/>
    <x v="0"/>
    <n v="90"/>
    <x v="7"/>
    <n v="244519.73"/>
    <x v="2"/>
    <x v="1"/>
    <x v="1"/>
    <n v="107875.29"/>
    <x v="0"/>
  </r>
  <r>
    <n v="253"/>
    <s v="Brown"/>
    <n v="569"/>
    <x v="1"/>
    <x v="0"/>
    <n v="21"/>
    <x v="7"/>
    <n v="18800.85"/>
    <x v="1"/>
    <x v="1"/>
    <x v="0"/>
    <n v="60995.52"/>
    <x v="1"/>
  </r>
  <r>
    <n v="254"/>
    <s v="Williams"/>
    <n v="705"/>
    <x v="0"/>
    <x v="0"/>
    <n v="29"/>
    <x v="5"/>
    <n v="78681.00999999999"/>
    <x v="1"/>
    <x v="1"/>
    <x v="0"/>
    <n v="69503.59"/>
    <x v="0"/>
  </r>
  <r>
    <n v="255"/>
    <s v="Davis"/>
    <n v="791"/>
    <x v="2"/>
    <x v="0"/>
    <n v="75"/>
    <x v="9"/>
    <n v="101615.64"/>
    <x v="3"/>
    <x v="0"/>
    <x v="0"/>
    <n v="108820.32"/>
    <x v="1"/>
  </r>
  <r>
    <n v="256"/>
    <s v="Davis"/>
    <n v="804"/>
    <x v="0"/>
    <x v="1"/>
    <n v="68"/>
    <x v="5"/>
    <n v="240635.59"/>
    <x v="1"/>
    <x v="1"/>
    <x v="0"/>
    <n v="122764.08"/>
    <x v="0"/>
  </r>
  <r>
    <n v="257"/>
    <s v="Davis"/>
    <n v="753"/>
    <x v="2"/>
    <x v="0"/>
    <n v="33"/>
    <x v="2"/>
    <n v="147696.65"/>
    <x v="3"/>
    <x v="0"/>
    <x v="0"/>
    <n v="46897.41"/>
    <x v="1"/>
  </r>
  <r>
    <n v="258"/>
    <s v="Williams"/>
    <n v="512"/>
    <x v="1"/>
    <x v="1"/>
    <n v="75"/>
    <x v="5"/>
    <n v="170020.95"/>
    <x v="2"/>
    <x v="0"/>
    <x v="1"/>
    <n v="34325.36"/>
    <x v="1"/>
  </r>
  <r>
    <n v="259"/>
    <s v="Davis"/>
    <n v="400"/>
    <x v="0"/>
    <x v="0"/>
    <n v="21"/>
    <x v="1"/>
    <n v="67715.59"/>
    <x v="3"/>
    <x v="0"/>
    <x v="1"/>
    <n v="71585.87"/>
    <x v="1"/>
  </r>
  <r>
    <n v="260"/>
    <s v="Wilson"/>
    <n v="592"/>
    <x v="1"/>
    <x v="0"/>
    <n v="78"/>
    <x v="4"/>
    <n v="64372.08"/>
    <x v="3"/>
    <x v="1"/>
    <x v="1"/>
    <n v="45223.9"/>
    <x v="1"/>
  </r>
  <r>
    <n v="261"/>
    <s v="Wilson"/>
    <n v="708"/>
    <x v="1"/>
    <x v="1"/>
    <n v="57"/>
    <x v="4"/>
    <n v="85692.92999999999"/>
    <x v="1"/>
    <x v="0"/>
    <x v="1"/>
    <n v="122538.35"/>
    <x v="0"/>
  </r>
  <r>
    <n v="262"/>
    <s v="Miller"/>
    <n v="370"/>
    <x v="0"/>
    <x v="0"/>
    <n v="47"/>
    <x v="8"/>
    <n v="20999.24"/>
    <x v="0"/>
    <x v="0"/>
    <x v="1"/>
    <n v="33647.8"/>
    <x v="1"/>
  </r>
  <r>
    <n v="263"/>
    <s v="Johnson"/>
    <n v="521"/>
    <x v="0"/>
    <x v="0"/>
    <n v="71"/>
    <x v="5"/>
    <n v="234878.9"/>
    <x v="1"/>
    <x v="1"/>
    <x v="1"/>
    <n v="55748.58"/>
    <x v="1"/>
  </r>
  <r>
    <n v="264"/>
    <s v="Miller"/>
    <n v="468"/>
    <x v="2"/>
    <x v="1"/>
    <n v="85"/>
    <x v="0"/>
    <n v="101290.26"/>
    <x v="1"/>
    <x v="0"/>
    <x v="1"/>
    <n v="37047.95"/>
    <x v="0"/>
  </r>
  <r>
    <n v="265"/>
    <s v="Wilson"/>
    <n v="478"/>
    <x v="2"/>
    <x v="0"/>
    <n v="74"/>
    <x v="4"/>
    <n v="50125.4"/>
    <x v="2"/>
    <x v="0"/>
    <x v="1"/>
    <n v="14640.19"/>
    <x v="1"/>
  </r>
  <r>
    <n v="266"/>
    <s v="Williams"/>
    <n v="834"/>
    <x v="1"/>
    <x v="1"/>
    <n v="63"/>
    <x v="8"/>
    <n v="85953.50999999999"/>
    <x v="3"/>
    <x v="0"/>
    <x v="1"/>
    <n v="91754.31"/>
    <x v="0"/>
  </r>
  <r>
    <n v="267"/>
    <s v="Jones"/>
    <n v="715"/>
    <x v="2"/>
    <x v="0"/>
    <n v="29"/>
    <x v="8"/>
    <n v="48947.26"/>
    <x v="2"/>
    <x v="0"/>
    <x v="0"/>
    <n v="119204.73"/>
    <x v="1"/>
  </r>
  <r>
    <n v="268"/>
    <s v="Johnson"/>
    <n v="455"/>
    <x v="0"/>
    <x v="1"/>
    <n v="23"/>
    <x v="10"/>
    <n v="63959.82"/>
    <x v="2"/>
    <x v="1"/>
    <x v="1"/>
    <n v="124481.95"/>
    <x v="0"/>
  </r>
  <r>
    <n v="269"/>
    <s v="Taylor"/>
    <n v="544"/>
    <x v="0"/>
    <x v="0"/>
    <n v="48"/>
    <x v="7"/>
    <n v="189398.99"/>
    <x v="3"/>
    <x v="0"/>
    <x v="1"/>
    <n v="106385.78"/>
    <x v="1"/>
  </r>
  <r>
    <n v="270"/>
    <s v="Davis"/>
    <n v="575"/>
    <x v="0"/>
    <x v="0"/>
    <n v="76"/>
    <x v="6"/>
    <n v="59505.51"/>
    <x v="2"/>
    <x v="0"/>
    <x v="0"/>
    <n v="116792.39"/>
    <x v="1"/>
  </r>
  <r>
    <n v="271"/>
    <s v="Taylor"/>
    <n v="490"/>
    <x v="1"/>
    <x v="1"/>
    <n v="86"/>
    <x v="1"/>
    <n v="174710.86"/>
    <x v="0"/>
    <x v="0"/>
    <x v="1"/>
    <n v="72099.13"/>
    <x v="1"/>
  </r>
  <r>
    <n v="272"/>
    <s v="Taylor"/>
    <n v="621"/>
    <x v="2"/>
    <x v="1"/>
    <n v="77"/>
    <x v="0"/>
    <n v="148341.38"/>
    <x v="3"/>
    <x v="1"/>
    <x v="1"/>
    <n v="26002.71"/>
    <x v="1"/>
  </r>
  <r>
    <n v="273"/>
    <s v="Williams"/>
    <n v="468"/>
    <x v="2"/>
    <x v="0"/>
    <n v="50"/>
    <x v="8"/>
    <n v="36270.72"/>
    <x v="2"/>
    <x v="1"/>
    <x v="0"/>
    <n v="48088.94"/>
    <x v="1"/>
  </r>
  <r>
    <n v="274"/>
    <s v="Smith"/>
    <n v="383"/>
    <x v="2"/>
    <x v="0"/>
    <n v="55"/>
    <x v="5"/>
    <n v="190927.15"/>
    <x v="0"/>
    <x v="0"/>
    <x v="0"/>
    <n v="88503.02"/>
    <x v="1"/>
  </r>
  <r>
    <n v="275"/>
    <s v="Taylor"/>
    <n v="501"/>
    <x v="2"/>
    <x v="0"/>
    <n v="61"/>
    <x v="4"/>
    <n v="213218.12"/>
    <x v="1"/>
    <x v="0"/>
    <x v="0"/>
    <n v="140183.29"/>
    <x v="0"/>
  </r>
  <r>
    <n v="276"/>
    <s v="Johnson"/>
    <n v="746"/>
    <x v="2"/>
    <x v="0"/>
    <n v="78"/>
    <x v="3"/>
    <n v="238996.86"/>
    <x v="3"/>
    <x v="0"/>
    <x v="0"/>
    <n v="105194.71"/>
    <x v="0"/>
  </r>
  <r>
    <n v="277"/>
    <s v="Taylor"/>
    <n v="739"/>
    <x v="2"/>
    <x v="0"/>
    <n v="63"/>
    <x v="10"/>
    <n v="239749.84"/>
    <x v="1"/>
    <x v="1"/>
    <x v="0"/>
    <n v="35871.66"/>
    <x v="0"/>
  </r>
  <r>
    <n v="278"/>
    <s v="Smith"/>
    <n v="388"/>
    <x v="2"/>
    <x v="1"/>
    <n v="47"/>
    <x v="4"/>
    <n v="176592.7"/>
    <x v="2"/>
    <x v="1"/>
    <x v="0"/>
    <n v="75036.28999999999"/>
    <x v="1"/>
  </r>
  <r>
    <n v="279"/>
    <s v="Miller"/>
    <n v="607"/>
    <x v="1"/>
    <x v="1"/>
    <n v="45"/>
    <x v="4"/>
    <n v="72836.13"/>
    <x v="0"/>
    <x v="0"/>
    <x v="1"/>
    <n v="127236.12"/>
    <x v="1"/>
  </r>
  <r>
    <n v="280"/>
    <s v="Smith"/>
    <n v="616"/>
    <x v="2"/>
    <x v="0"/>
    <n v="45"/>
    <x v="10"/>
    <n v="9477.92"/>
    <x v="0"/>
    <x v="0"/>
    <x v="1"/>
    <n v="23547.86"/>
    <x v="1"/>
  </r>
  <r>
    <n v="281"/>
    <s v="Brown"/>
    <n v="356"/>
    <x v="2"/>
    <x v="1"/>
    <n v="47"/>
    <x v="2"/>
    <n v="97557.60000000001"/>
    <x v="0"/>
    <x v="1"/>
    <x v="1"/>
    <n v="21082.35"/>
    <x v="1"/>
  </r>
  <r>
    <n v="282"/>
    <s v="Moore"/>
    <n v="731"/>
    <x v="2"/>
    <x v="1"/>
    <n v="90"/>
    <x v="9"/>
    <n v="183281.65"/>
    <x v="1"/>
    <x v="0"/>
    <x v="1"/>
    <n v="141248.29"/>
    <x v="1"/>
  </r>
  <r>
    <n v="283"/>
    <s v="Brown"/>
    <n v="612"/>
    <x v="1"/>
    <x v="0"/>
    <n v="56"/>
    <x v="10"/>
    <n v="235159.65"/>
    <x v="0"/>
    <x v="1"/>
    <x v="1"/>
    <n v="132280.03"/>
    <x v="1"/>
  </r>
  <r>
    <n v="284"/>
    <s v="Jones"/>
    <n v="452"/>
    <x v="2"/>
    <x v="0"/>
    <n v="29"/>
    <x v="7"/>
    <n v="28385.09"/>
    <x v="0"/>
    <x v="1"/>
    <x v="1"/>
    <n v="70010.28"/>
    <x v="0"/>
  </r>
  <r>
    <n v="285"/>
    <s v="Jones"/>
    <n v="772"/>
    <x v="1"/>
    <x v="0"/>
    <n v="50"/>
    <x v="7"/>
    <n v="135560.49"/>
    <x v="1"/>
    <x v="1"/>
    <x v="0"/>
    <n v="111365.93"/>
    <x v="1"/>
  </r>
  <r>
    <n v="286"/>
    <s v="Moore"/>
    <n v="681"/>
    <x v="1"/>
    <x v="1"/>
    <n v="68"/>
    <x v="7"/>
    <n v="118693.43"/>
    <x v="1"/>
    <x v="0"/>
    <x v="1"/>
    <n v="119809.36"/>
    <x v="1"/>
  </r>
  <r>
    <n v="287"/>
    <s v="Moore"/>
    <n v="720"/>
    <x v="1"/>
    <x v="0"/>
    <n v="58"/>
    <x v="3"/>
    <n v="11432.08"/>
    <x v="0"/>
    <x v="1"/>
    <x v="0"/>
    <n v="56250.21"/>
    <x v="1"/>
  </r>
  <r>
    <n v="288"/>
    <s v="Wilson"/>
    <n v="691"/>
    <x v="0"/>
    <x v="1"/>
    <n v="88"/>
    <x v="7"/>
    <n v="162669.36"/>
    <x v="2"/>
    <x v="1"/>
    <x v="0"/>
    <n v="71072.84"/>
    <x v="0"/>
  </r>
  <r>
    <n v="289"/>
    <s v="Smith"/>
    <n v="732"/>
    <x v="2"/>
    <x v="1"/>
    <n v="48"/>
    <x v="0"/>
    <n v="218144.92"/>
    <x v="2"/>
    <x v="0"/>
    <x v="1"/>
    <n v="130492.75"/>
    <x v="1"/>
  </r>
  <r>
    <n v="290"/>
    <s v="Jones"/>
    <n v="720"/>
    <x v="0"/>
    <x v="1"/>
    <n v="40"/>
    <x v="3"/>
    <n v="115463.15"/>
    <x v="3"/>
    <x v="0"/>
    <x v="0"/>
    <n v="11871.68"/>
    <x v="0"/>
  </r>
  <r>
    <n v="291"/>
    <s v="Moore"/>
    <n v="528"/>
    <x v="2"/>
    <x v="1"/>
    <n v="53"/>
    <x v="2"/>
    <n v="130816.43"/>
    <x v="0"/>
    <x v="1"/>
    <x v="0"/>
    <n v="57363.12"/>
    <x v="0"/>
  </r>
  <r>
    <n v="292"/>
    <s v="Wilson"/>
    <n v="657"/>
    <x v="1"/>
    <x v="1"/>
    <n v="86"/>
    <x v="6"/>
    <n v="44447.47"/>
    <x v="3"/>
    <x v="1"/>
    <x v="0"/>
    <n v="145899.54"/>
    <x v="0"/>
  </r>
  <r>
    <n v="293"/>
    <s v="Wilson"/>
    <n v="608"/>
    <x v="1"/>
    <x v="1"/>
    <n v="81"/>
    <x v="10"/>
    <n v="30279.62"/>
    <x v="1"/>
    <x v="1"/>
    <x v="1"/>
    <n v="74150.78999999999"/>
    <x v="1"/>
  </r>
  <r>
    <n v="294"/>
    <s v="Johnson"/>
    <n v="682"/>
    <x v="2"/>
    <x v="1"/>
    <n v="22"/>
    <x v="9"/>
    <n v="153461.96"/>
    <x v="1"/>
    <x v="1"/>
    <x v="1"/>
    <n v="66758.63"/>
    <x v="0"/>
  </r>
  <r>
    <n v="295"/>
    <s v="Moore"/>
    <n v="507"/>
    <x v="2"/>
    <x v="1"/>
    <n v="67"/>
    <x v="6"/>
    <n v="179102.53"/>
    <x v="1"/>
    <x v="1"/>
    <x v="0"/>
    <n v="14556.33"/>
    <x v="1"/>
  </r>
  <r>
    <n v="296"/>
    <s v="Brown"/>
    <n v="359"/>
    <x v="1"/>
    <x v="1"/>
    <n v="47"/>
    <x v="2"/>
    <n v="71875.84"/>
    <x v="1"/>
    <x v="1"/>
    <x v="1"/>
    <n v="112038.87"/>
    <x v="0"/>
  </r>
  <r>
    <n v="297"/>
    <s v="Wilson"/>
    <n v="465"/>
    <x v="2"/>
    <x v="0"/>
    <n v="81"/>
    <x v="9"/>
    <n v="124862.63"/>
    <x v="2"/>
    <x v="0"/>
    <x v="1"/>
    <n v="141751.96"/>
    <x v="0"/>
  </r>
  <r>
    <n v="298"/>
    <s v="Smith"/>
    <n v="806"/>
    <x v="2"/>
    <x v="1"/>
    <n v="79"/>
    <x v="7"/>
    <n v="239514.85"/>
    <x v="1"/>
    <x v="1"/>
    <x v="0"/>
    <n v="107683.81"/>
    <x v="1"/>
  </r>
  <r>
    <n v="299"/>
    <s v="Brown"/>
    <n v="739"/>
    <x v="0"/>
    <x v="1"/>
    <n v="44"/>
    <x v="8"/>
    <n v="8330.889999999999"/>
    <x v="1"/>
    <x v="1"/>
    <x v="1"/>
    <n v="102035.16"/>
    <x v="1"/>
  </r>
  <r>
    <n v="300"/>
    <s v="Taylor"/>
    <n v="466"/>
    <x v="1"/>
    <x v="1"/>
    <n v="91"/>
    <x v="6"/>
    <n v="58953.35"/>
    <x v="2"/>
    <x v="0"/>
    <x v="0"/>
    <n v="140486.14"/>
    <x v="1"/>
  </r>
  <r>
    <n v="301"/>
    <s v="Smith"/>
    <n v="531"/>
    <x v="0"/>
    <x v="1"/>
    <n v="68"/>
    <x v="10"/>
    <n v="25763.31"/>
    <x v="1"/>
    <x v="0"/>
    <x v="1"/>
    <n v="31564.75"/>
    <x v="0"/>
  </r>
  <r>
    <n v="302"/>
    <s v="Miller"/>
    <n v="585"/>
    <x v="1"/>
    <x v="0"/>
    <n v="35"/>
    <x v="3"/>
    <n v="205498.11"/>
    <x v="3"/>
    <x v="1"/>
    <x v="1"/>
    <n v="24566"/>
    <x v="1"/>
  </r>
  <r>
    <n v="303"/>
    <s v="Brown"/>
    <n v="543"/>
    <x v="0"/>
    <x v="0"/>
    <n v="89"/>
    <x v="6"/>
    <n v="248060.86"/>
    <x v="0"/>
    <x v="1"/>
    <x v="0"/>
    <n v="105985.33"/>
    <x v="1"/>
  </r>
  <r>
    <n v="304"/>
    <s v="Williams"/>
    <n v="649"/>
    <x v="2"/>
    <x v="0"/>
    <n v="74"/>
    <x v="2"/>
    <n v="39932.25"/>
    <x v="0"/>
    <x v="0"/>
    <x v="0"/>
    <n v="20310.53"/>
    <x v="0"/>
  </r>
  <r>
    <n v="305"/>
    <s v="Brown"/>
    <n v="429"/>
    <x v="2"/>
    <x v="0"/>
    <n v="53"/>
    <x v="10"/>
    <n v="187975.23"/>
    <x v="1"/>
    <x v="0"/>
    <x v="0"/>
    <n v="137236.54"/>
    <x v="1"/>
  </r>
  <r>
    <n v="306"/>
    <s v="Miller"/>
    <n v="412"/>
    <x v="1"/>
    <x v="1"/>
    <n v="91"/>
    <x v="7"/>
    <n v="71844.74000000001"/>
    <x v="1"/>
    <x v="1"/>
    <x v="1"/>
    <n v="105880.01"/>
    <x v="0"/>
  </r>
  <r>
    <n v="307"/>
    <s v="Jones"/>
    <n v="682"/>
    <x v="1"/>
    <x v="1"/>
    <n v="65"/>
    <x v="7"/>
    <n v="82186.16"/>
    <x v="1"/>
    <x v="0"/>
    <x v="0"/>
    <n v="118581.88"/>
    <x v="0"/>
  </r>
  <r>
    <n v="308"/>
    <s v="Jones"/>
    <n v="397"/>
    <x v="1"/>
    <x v="1"/>
    <n v="66"/>
    <x v="1"/>
    <n v="232462.02"/>
    <x v="2"/>
    <x v="0"/>
    <x v="1"/>
    <n v="135716.11"/>
    <x v="1"/>
  </r>
  <r>
    <n v="309"/>
    <s v="Wilson"/>
    <n v="426"/>
    <x v="0"/>
    <x v="0"/>
    <n v="89"/>
    <x v="7"/>
    <n v="178130.78"/>
    <x v="0"/>
    <x v="1"/>
    <x v="1"/>
    <n v="21570.41"/>
    <x v="0"/>
  </r>
  <r>
    <n v="310"/>
    <s v="Moore"/>
    <n v="499"/>
    <x v="1"/>
    <x v="1"/>
    <n v="85"/>
    <x v="5"/>
    <n v="203018.63"/>
    <x v="3"/>
    <x v="0"/>
    <x v="1"/>
    <n v="57175.83"/>
    <x v="1"/>
  </r>
  <r>
    <n v="311"/>
    <s v="Davis"/>
    <n v="470"/>
    <x v="2"/>
    <x v="0"/>
    <n v="89"/>
    <x v="2"/>
    <n v="113690.36"/>
    <x v="2"/>
    <x v="1"/>
    <x v="1"/>
    <n v="87583.03999999999"/>
    <x v="1"/>
  </r>
  <r>
    <n v="312"/>
    <s v="Smith"/>
    <n v="624"/>
    <x v="1"/>
    <x v="0"/>
    <n v="80"/>
    <x v="5"/>
    <n v="81815.67"/>
    <x v="2"/>
    <x v="1"/>
    <x v="0"/>
    <n v="129536.99"/>
    <x v="0"/>
  </r>
  <r>
    <n v="313"/>
    <s v="Moore"/>
    <n v="695"/>
    <x v="2"/>
    <x v="1"/>
    <n v="90"/>
    <x v="3"/>
    <n v="34576.69"/>
    <x v="2"/>
    <x v="1"/>
    <x v="0"/>
    <n v="87838.32000000001"/>
    <x v="1"/>
  </r>
  <r>
    <n v="314"/>
    <s v="Davis"/>
    <n v="363"/>
    <x v="0"/>
    <x v="0"/>
    <n v="55"/>
    <x v="0"/>
    <n v="156344.54"/>
    <x v="3"/>
    <x v="1"/>
    <x v="0"/>
    <n v="90381.03999999999"/>
    <x v="1"/>
  </r>
  <r>
    <n v="315"/>
    <s v="Brown"/>
    <n v="572"/>
    <x v="2"/>
    <x v="0"/>
    <n v="23"/>
    <x v="2"/>
    <n v="169958.77"/>
    <x v="3"/>
    <x v="0"/>
    <x v="0"/>
    <n v="90227.36"/>
    <x v="1"/>
  </r>
  <r>
    <n v="316"/>
    <s v="Wilson"/>
    <n v="442"/>
    <x v="2"/>
    <x v="1"/>
    <n v="73"/>
    <x v="8"/>
    <n v="232599.36"/>
    <x v="0"/>
    <x v="1"/>
    <x v="1"/>
    <n v="103203.97"/>
    <x v="0"/>
  </r>
  <r>
    <n v="317"/>
    <s v="Brown"/>
    <n v="586"/>
    <x v="0"/>
    <x v="1"/>
    <n v="64"/>
    <x v="10"/>
    <n v="31288.48"/>
    <x v="3"/>
    <x v="1"/>
    <x v="0"/>
    <n v="111373.48"/>
    <x v="0"/>
  </r>
  <r>
    <n v="318"/>
    <s v="Johnson"/>
    <n v="455"/>
    <x v="2"/>
    <x v="0"/>
    <n v="56"/>
    <x v="4"/>
    <n v="184265.11"/>
    <x v="1"/>
    <x v="0"/>
    <x v="0"/>
    <n v="106046.27"/>
    <x v="1"/>
  </r>
  <r>
    <n v="319"/>
    <s v="Jones"/>
    <n v="563"/>
    <x v="0"/>
    <x v="0"/>
    <n v="67"/>
    <x v="1"/>
    <n v="136635"/>
    <x v="1"/>
    <x v="0"/>
    <x v="1"/>
    <n v="29342.26"/>
    <x v="1"/>
  </r>
  <r>
    <n v="320"/>
    <s v="Jones"/>
    <n v="356"/>
    <x v="0"/>
    <x v="1"/>
    <n v="26"/>
    <x v="5"/>
    <n v="114332.53"/>
    <x v="0"/>
    <x v="1"/>
    <x v="0"/>
    <n v="148688.77"/>
    <x v="1"/>
  </r>
  <r>
    <n v="321"/>
    <s v="Taylor"/>
    <n v="450"/>
    <x v="0"/>
    <x v="0"/>
    <n v="83"/>
    <x v="2"/>
    <n v="188229.59"/>
    <x v="3"/>
    <x v="1"/>
    <x v="0"/>
    <n v="129283.37"/>
    <x v="1"/>
  </r>
  <r>
    <n v="322"/>
    <s v="Williams"/>
    <n v="398"/>
    <x v="2"/>
    <x v="0"/>
    <n v="84"/>
    <x v="2"/>
    <n v="151818.88"/>
    <x v="0"/>
    <x v="0"/>
    <x v="0"/>
    <n v="76167.42"/>
    <x v="0"/>
  </r>
  <r>
    <n v="323"/>
    <s v="Davis"/>
    <n v="390"/>
    <x v="0"/>
    <x v="0"/>
    <n v="80"/>
    <x v="4"/>
    <n v="25688.61"/>
    <x v="0"/>
    <x v="1"/>
    <x v="1"/>
    <n v="100083.34"/>
    <x v="1"/>
  </r>
  <r>
    <n v="324"/>
    <s v="Williams"/>
    <n v="760"/>
    <x v="1"/>
    <x v="1"/>
    <n v="34"/>
    <x v="7"/>
    <n v="104789.1"/>
    <x v="3"/>
    <x v="0"/>
    <x v="0"/>
    <n v="47420.92"/>
    <x v="1"/>
  </r>
  <r>
    <n v="325"/>
    <s v="Jones"/>
    <n v="508"/>
    <x v="2"/>
    <x v="0"/>
    <n v="79"/>
    <x v="5"/>
    <n v="248917.55"/>
    <x v="2"/>
    <x v="0"/>
    <x v="0"/>
    <n v="126187.32"/>
    <x v="0"/>
  </r>
  <r>
    <n v="326"/>
    <s v="Davis"/>
    <n v="739"/>
    <x v="2"/>
    <x v="0"/>
    <n v="84"/>
    <x v="0"/>
    <n v="191888.81"/>
    <x v="3"/>
    <x v="0"/>
    <x v="0"/>
    <n v="94143.75999999999"/>
    <x v="1"/>
  </r>
  <r>
    <n v="327"/>
    <s v="Wilson"/>
    <n v="493"/>
    <x v="1"/>
    <x v="0"/>
    <n v="29"/>
    <x v="9"/>
    <n v="190645.09"/>
    <x v="1"/>
    <x v="0"/>
    <x v="1"/>
    <n v="46765.52"/>
    <x v="1"/>
  </r>
  <r>
    <n v="328"/>
    <s v="Williams"/>
    <n v="797"/>
    <x v="1"/>
    <x v="1"/>
    <n v="49"/>
    <x v="9"/>
    <n v="230551.53"/>
    <x v="3"/>
    <x v="0"/>
    <x v="1"/>
    <n v="127716.72"/>
    <x v="1"/>
  </r>
  <r>
    <n v="329"/>
    <s v="Wilson"/>
    <n v="835"/>
    <x v="1"/>
    <x v="0"/>
    <n v="28"/>
    <x v="8"/>
    <n v="182346.37"/>
    <x v="2"/>
    <x v="0"/>
    <x v="0"/>
    <n v="23783.4"/>
    <x v="0"/>
  </r>
  <r>
    <n v="330"/>
    <s v="Johnson"/>
    <n v="387"/>
    <x v="1"/>
    <x v="1"/>
    <n v="38"/>
    <x v="4"/>
    <n v="211996.17"/>
    <x v="3"/>
    <x v="0"/>
    <x v="0"/>
    <n v="45722.09"/>
    <x v="0"/>
  </r>
  <r>
    <n v="331"/>
    <s v="Miller"/>
    <n v="409"/>
    <x v="0"/>
    <x v="0"/>
    <n v="32"/>
    <x v="10"/>
    <n v="100270.85"/>
    <x v="1"/>
    <x v="0"/>
    <x v="1"/>
    <n v="57238.53"/>
    <x v="0"/>
  </r>
  <r>
    <n v="332"/>
    <s v="Davis"/>
    <n v="463"/>
    <x v="2"/>
    <x v="1"/>
    <n v="70"/>
    <x v="9"/>
    <n v="100036.16"/>
    <x v="1"/>
    <x v="1"/>
    <x v="0"/>
    <n v="27387.77"/>
    <x v="1"/>
  </r>
  <r>
    <n v="333"/>
    <s v="Smith"/>
    <n v="445"/>
    <x v="2"/>
    <x v="1"/>
    <n v="89"/>
    <x v="5"/>
    <n v="239257.96"/>
    <x v="2"/>
    <x v="1"/>
    <x v="0"/>
    <n v="75002.11"/>
    <x v="0"/>
  </r>
  <r>
    <n v="334"/>
    <s v="Smith"/>
    <n v="702"/>
    <x v="1"/>
    <x v="1"/>
    <n v="47"/>
    <x v="3"/>
    <n v="189373.41"/>
    <x v="2"/>
    <x v="0"/>
    <x v="1"/>
    <n v="117202.4"/>
    <x v="1"/>
  </r>
  <r>
    <n v="335"/>
    <s v="Jones"/>
    <n v="846"/>
    <x v="0"/>
    <x v="1"/>
    <n v="23"/>
    <x v="1"/>
    <n v="117828.86"/>
    <x v="1"/>
    <x v="1"/>
    <x v="0"/>
    <n v="67005.42999999999"/>
    <x v="1"/>
  </r>
  <r>
    <n v="336"/>
    <s v="Johnson"/>
    <n v="558"/>
    <x v="0"/>
    <x v="0"/>
    <n v="32"/>
    <x v="3"/>
    <n v="122399.16"/>
    <x v="1"/>
    <x v="1"/>
    <x v="0"/>
    <n v="107283.07"/>
    <x v="0"/>
  </r>
  <r>
    <n v="337"/>
    <s v="Taylor"/>
    <n v="638"/>
    <x v="1"/>
    <x v="1"/>
    <n v="69"/>
    <x v="6"/>
    <n v="4147.69"/>
    <x v="3"/>
    <x v="1"/>
    <x v="0"/>
    <n v="37164.6"/>
    <x v="1"/>
  </r>
  <r>
    <n v="338"/>
    <s v="Taylor"/>
    <n v="412"/>
    <x v="1"/>
    <x v="0"/>
    <n v="50"/>
    <x v="0"/>
    <n v="57433.4"/>
    <x v="0"/>
    <x v="0"/>
    <x v="0"/>
    <n v="125784.2"/>
    <x v="1"/>
  </r>
  <r>
    <n v="339"/>
    <s v="Miller"/>
    <n v="744"/>
    <x v="1"/>
    <x v="1"/>
    <n v="41"/>
    <x v="0"/>
    <n v="117825.55"/>
    <x v="0"/>
    <x v="1"/>
    <x v="1"/>
    <n v="33868.2"/>
    <x v="1"/>
  </r>
  <r>
    <n v="340"/>
    <s v="Miller"/>
    <n v="746"/>
    <x v="1"/>
    <x v="1"/>
    <n v="24"/>
    <x v="8"/>
    <n v="73449.67999999999"/>
    <x v="2"/>
    <x v="0"/>
    <x v="0"/>
    <n v="108174.82"/>
    <x v="1"/>
  </r>
  <r>
    <n v="341"/>
    <s v="Wilson"/>
    <n v="443"/>
    <x v="0"/>
    <x v="0"/>
    <n v="91"/>
    <x v="9"/>
    <n v="245454.02"/>
    <x v="2"/>
    <x v="1"/>
    <x v="0"/>
    <n v="49422.5"/>
    <x v="1"/>
  </r>
  <r>
    <n v="342"/>
    <s v="Moore"/>
    <n v="670"/>
    <x v="2"/>
    <x v="0"/>
    <n v="83"/>
    <x v="4"/>
    <n v="28880.56"/>
    <x v="0"/>
    <x v="0"/>
    <x v="1"/>
    <n v="124392.15"/>
    <x v="0"/>
  </r>
  <r>
    <n v="343"/>
    <s v="Moore"/>
    <n v="763"/>
    <x v="0"/>
    <x v="0"/>
    <n v="88"/>
    <x v="10"/>
    <n v="126389.5"/>
    <x v="1"/>
    <x v="0"/>
    <x v="0"/>
    <n v="145049.72"/>
    <x v="1"/>
  </r>
  <r>
    <n v="344"/>
    <s v="Wilson"/>
    <n v="696"/>
    <x v="2"/>
    <x v="1"/>
    <n v="58"/>
    <x v="6"/>
    <n v="2478.15"/>
    <x v="2"/>
    <x v="0"/>
    <x v="1"/>
    <n v="118783.64"/>
    <x v="1"/>
  </r>
  <r>
    <n v="345"/>
    <s v="Smith"/>
    <n v="837"/>
    <x v="2"/>
    <x v="1"/>
    <n v="78"/>
    <x v="7"/>
    <n v="68129.60000000001"/>
    <x v="3"/>
    <x v="1"/>
    <x v="0"/>
    <n v="17554.76"/>
    <x v="1"/>
  </r>
  <r>
    <n v="346"/>
    <s v="Moore"/>
    <n v="500"/>
    <x v="2"/>
    <x v="0"/>
    <n v="54"/>
    <x v="0"/>
    <n v="56107.72"/>
    <x v="0"/>
    <x v="0"/>
    <x v="0"/>
    <n v="15514.32"/>
    <x v="0"/>
  </r>
  <r>
    <n v="347"/>
    <s v="Miller"/>
    <n v="753"/>
    <x v="0"/>
    <x v="1"/>
    <n v="30"/>
    <x v="0"/>
    <n v="151272.33"/>
    <x v="3"/>
    <x v="1"/>
    <x v="0"/>
    <n v="12942.16"/>
    <x v="0"/>
  </r>
  <r>
    <n v="348"/>
    <s v="Moore"/>
    <n v="739"/>
    <x v="1"/>
    <x v="1"/>
    <n v="53"/>
    <x v="7"/>
    <n v="221804.74"/>
    <x v="3"/>
    <x v="1"/>
    <x v="1"/>
    <n v="140925.68"/>
    <x v="0"/>
  </r>
  <r>
    <n v="349"/>
    <s v="Taylor"/>
    <n v="642"/>
    <x v="1"/>
    <x v="0"/>
    <n v="80"/>
    <x v="6"/>
    <n v="141610.87"/>
    <x v="1"/>
    <x v="0"/>
    <x v="0"/>
    <n v="35048.16"/>
    <x v="0"/>
  </r>
  <r>
    <n v="350"/>
    <s v="Moore"/>
    <n v="433"/>
    <x v="0"/>
    <x v="0"/>
    <n v="87"/>
    <x v="3"/>
    <n v="161025.64"/>
    <x v="2"/>
    <x v="0"/>
    <x v="1"/>
    <n v="129607.96"/>
    <x v="0"/>
  </r>
  <r>
    <n v="351"/>
    <s v="Jones"/>
    <n v="477"/>
    <x v="0"/>
    <x v="0"/>
    <n v="80"/>
    <x v="0"/>
    <n v="69980.85000000001"/>
    <x v="2"/>
    <x v="0"/>
    <x v="0"/>
    <n v="112678.04"/>
    <x v="0"/>
  </r>
  <r>
    <n v="352"/>
    <s v="Miller"/>
    <n v="834"/>
    <x v="2"/>
    <x v="0"/>
    <n v="76"/>
    <x v="9"/>
    <n v="77216.62"/>
    <x v="2"/>
    <x v="1"/>
    <x v="0"/>
    <n v="104636.55"/>
    <x v="1"/>
  </r>
  <r>
    <n v="353"/>
    <s v="Johnson"/>
    <n v="611"/>
    <x v="0"/>
    <x v="1"/>
    <n v="36"/>
    <x v="8"/>
    <n v="124751.31"/>
    <x v="1"/>
    <x v="1"/>
    <x v="0"/>
    <n v="16581.23"/>
    <x v="1"/>
  </r>
  <r>
    <n v="354"/>
    <s v="Wilson"/>
    <n v="698"/>
    <x v="2"/>
    <x v="1"/>
    <n v="18"/>
    <x v="6"/>
    <n v="142139.92"/>
    <x v="3"/>
    <x v="1"/>
    <x v="1"/>
    <n v="89777.41"/>
    <x v="0"/>
  </r>
  <r>
    <n v="355"/>
    <s v="Brown"/>
    <n v="810"/>
    <x v="0"/>
    <x v="0"/>
    <n v="19"/>
    <x v="4"/>
    <n v="136582.23"/>
    <x v="3"/>
    <x v="0"/>
    <x v="0"/>
    <n v="146255.77"/>
    <x v="1"/>
  </r>
  <r>
    <n v="356"/>
    <s v="Taylor"/>
    <n v="504"/>
    <x v="1"/>
    <x v="1"/>
    <n v="39"/>
    <x v="3"/>
    <n v="65011.59"/>
    <x v="3"/>
    <x v="0"/>
    <x v="1"/>
    <n v="100509.25"/>
    <x v="1"/>
  </r>
  <r>
    <n v="357"/>
    <s v="Williams"/>
    <n v="591"/>
    <x v="1"/>
    <x v="1"/>
    <n v="31"/>
    <x v="9"/>
    <n v="36493.35"/>
    <x v="3"/>
    <x v="0"/>
    <x v="0"/>
    <n v="50480.54"/>
    <x v="1"/>
  </r>
  <r>
    <n v="358"/>
    <s v="Smith"/>
    <n v="433"/>
    <x v="1"/>
    <x v="1"/>
    <n v="85"/>
    <x v="2"/>
    <n v="92093.09"/>
    <x v="2"/>
    <x v="1"/>
    <x v="1"/>
    <n v="117465.12"/>
    <x v="1"/>
  </r>
  <r>
    <n v="359"/>
    <s v="Moore"/>
    <n v="746"/>
    <x v="0"/>
    <x v="1"/>
    <n v="35"/>
    <x v="6"/>
    <n v="196029.87"/>
    <x v="2"/>
    <x v="0"/>
    <x v="0"/>
    <n v="77933.48"/>
    <x v="0"/>
  </r>
  <r>
    <n v="360"/>
    <s v="Williams"/>
    <n v="836"/>
    <x v="2"/>
    <x v="1"/>
    <n v="23"/>
    <x v="1"/>
    <n v="149033.25"/>
    <x v="3"/>
    <x v="1"/>
    <x v="0"/>
    <n v="26370.52"/>
    <x v="1"/>
  </r>
  <r>
    <n v="361"/>
    <s v="Wilson"/>
    <n v="485"/>
    <x v="1"/>
    <x v="1"/>
    <n v="44"/>
    <x v="9"/>
    <n v="45468.26"/>
    <x v="3"/>
    <x v="0"/>
    <x v="1"/>
    <n v="132665.08"/>
    <x v="0"/>
  </r>
  <r>
    <n v="362"/>
    <s v="Moore"/>
    <n v="530"/>
    <x v="2"/>
    <x v="0"/>
    <n v="81"/>
    <x v="5"/>
    <n v="58304.43"/>
    <x v="1"/>
    <x v="1"/>
    <x v="0"/>
    <n v="122633.44"/>
    <x v="0"/>
  </r>
  <r>
    <n v="363"/>
    <s v="Brown"/>
    <n v="430"/>
    <x v="1"/>
    <x v="1"/>
    <n v="45"/>
    <x v="10"/>
    <n v="226048.06"/>
    <x v="2"/>
    <x v="0"/>
    <x v="1"/>
    <n v="13741.1"/>
    <x v="1"/>
  </r>
  <r>
    <n v="364"/>
    <s v="Brown"/>
    <n v="763"/>
    <x v="2"/>
    <x v="1"/>
    <n v="59"/>
    <x v="3"/>
    <n v="99046.96000000001"/>
    <x v="2"/>
    <x v="0"/>
    <x v="0"/>
    <n v="15699.41"/>
    <x v="0"/>
  </r>
  <r>
    <n v="365"/>
    <s v="Johnson"/>
    <n v="350"/>
    <x v="0"/>
    <x v="1"/>
    <n v="31"/>
    <x v="5"/>
    <n v="213425.22"/>
    <x v="3"/>
    <x v="1"/>
    <x v="0"/>
    <n v="36418.23"/>
    <x v="1"/>
  </r>
  <r>
    <n v="366"/>
    <s v="Wilson"/>
    <n v="565"/>
    <x v="0"/>
    <x v="0"/>
    <n v="63"/>
    <x v="0"/>
    <n v="244367.77"/>
    <x v="2"/>
    <x v="0"/>
    <x v="1"/>
    <n v="130825.14"/>
    <x v="0"/>
  </r>
  <r>
    <n v="367"/>
    <s v="Miller"/>
    <n v="557"/>
    <x v="2"/>
    <x v="1"/>
    <n v="66"/>
    <x v="4"/>
    <n v="89466.82000000001"/>
    <x v="2"/>
    <x v="0"/>
    <x v="1"/>
    <n v="37239.08"/>
    <x v="1"/>
  </r>
  <r>
    <n v="368"/>
    <s v="Taylor"/>
    <n v="680"/>
    <x v="0"/>
    <x v="1"/>
    <n v="74"/>
    <x v="5"/>
    <n v="3229.42"/>
    <x v="3"/>
    <x v="1"/>
    <x v="0"/>
    <n v="139041.33"/>
    <x v="1"/>
  </r>
  <r>
    <n v="369"/>
    <s v="Brown"/>
    <n v="602"/>
    <x v="2"/>
    <x v="1"/>
    <n v="76"/>
    <x v="9"/>
    <n v="181947.19"/>
    <x v="0"/>
    <x v="1"/>
    <x v="1"/>
    <n v="81521.02"/>
    <x v="0"/>
  </r>
  <r>
    <n v="370"/>
    <s v="Johnson"/>
    <n v="481"/>
    <x v="0"/>
    <x v="1"/>
    <n v="35"/>
    <x v="0"/>
    <n v="121359.53"/>
    <x v="0"/>
    <x v="1"/>
    <x v="0"/>
    <n v="50215.32"/>
    <x v="1"/>
  </r>
  <r>
    <n v="371"/>
    <s v="Davis"/>
    <n v="411"/>
    <x v="0"/>
    <x v="1"/>
    <n v="25"/>
    <x v="2"/>
    <n v="221855.45"/>
    <x v="0"/>
    <x v="1"/>
    <x v="1"/>
    <n v="27505.16"/>
    <x v="0"/>
  </r>
  <r>
    <n v="372"/>
    <s v="Taylor"/>
    <n v="673"/>
    <x v="2"/>
    <x v="0"/>
    <n v="44"/>
    <x v="3"/>
    <n v="42307.27"/>
    <x v="2"/>
    <x v="0"/>
    <x v="0"/>
    <n v="91193.31"/>
    <x v="1"/>
  </r>
  <r>
    <n v="373"/>
    <s v="Wilson"/>
    <n v="494"/>
    <x v="1"/>
    <x v="1"/>
    <n v="35"/>
    <x v="6"/>
    <n v="60811.89"/>
    <x v="1"/>
    <x v="0"/>
    <x v="0"/>
    <n v="135514.51"/>
    <x v="0"/>
  </r>
  <r>
    <n v="374"/>
    <s v="Johnson"/>
    <n v="718"/>
    <x v="1"/>
    <x v="1"/>
    <n v="86"/>
    <x v="4"/>
    <n v="117910.43"/>
    <x v="2"/>
    <x v="0"/>
    <x v="0"/>
    <n v="96850.83"/>
    <x v="0"/>
  </r>
  <r>
    <n v="375"/>
    <s v="Jones"/>
    <n v="807"/>
    <x v="1"/>
    <x v="0"/>
    <n v="61"/>
    <x v="5"/>
    <n v="33943.95"/>
    <x v="3"/>
    <x v="0"/>
    <x v="1"/>
    <n v="70802.91"/>
    <x v="0"/>
  </r>
  <r>
    <n v="376"/>
    <s v="Davis"/>
    <n v="434"/>
    <x v="2"/>
    <x v="0"/>
    <n v="65"/>
    <x v="2"/>
    <n v="90083.5"/>
    <x v="1"/>
    <x v="1"/>
    <x v="1"/>
    <n v="97501.27"/>
    <x v="0"/>
  </r>
  <r>
    <n v="377"/>
    <s v="Wilson"/>
    <n v="466"/>
    <x v="1"/>
    <x v="1"/>
    <n v="90"/>
    <x v="9"/>
    <n v="3890.93"/>
    <x v="3"/>
    <x v="1"/>
    <x v="1"/>
    <n v="112863.73"/>
    <x v="1"/>
  </r>
  <r>
    <n v="378"/>
    <s v="Jones"/>
    <n v="579"/>
    <x v="0"/>
    <x v="1"/>
    <n v="76"/>
    <x v="8"/>
    <n v="200445.11"/>
    <x v="1"/>
    <x v="0"/>
    <x v="1"/>
    <n v="43482.28"/>
    <x v="0"/>
  </r>
  <r>
    <n v="379"/>
    <s v="Miller"/>
    <n v="605"/>
    <x v="1"/>
    <x v="1"/>
    <n v="45"/>
    <x v="3"/>
    <n v="25176.02"/>
    <x v="1"/>
    <x v="1"/>
    <x v="1"/>
    <n v="47799.89"/>
    <x v="0"/>
  </r>
  <r>
    <n v="380"/>
    <s v="Miller"/>
    <n v="662"/>
    <x v="0"/>
    <x v="0"/>
    <n v="24"/>
    <x v="1"/>
    <n v="148964.49"/>
    <x v="1"/>
    <x v="0"/>
    <x v="0"/>
    <n v="134929.35"/>
    <x v="1"/>
  </r>
  <r>
    <n v="381"/>
    <s v="Wilson"/>
    <n v="668"/>
    <x v="1"/>
    <x v="1"/>
    <n v="25"/>
    <x v="5"/>
    <n v="65557.83"/>
    <x v="1"/>
    <x v="0"/>
    <x v="1"/>
    <n v="119298.33"/>
    <x v="1"/>
  </r>
  <r>
    <n v="382"/>
    <s v="Taylor"/>
    <n v="790"/>
    <x v="1"/>
    <x v="0"/>
    <n v="71"/>
    <x v="8"/>
    <n v="7503.74"/>
    <x v="0"/>
    <x v="0"/>
    <x v="1"/>
    <n v="111705.43"/>
    <x v="1"/>
  </r>
  <r>
    <n v="383"/>
    <s v="Johnson"/>
    <n v="398"/>
    <x v="2"/>
    <x v="1"/>
    <n v="44"/>
    <x v="7"/>
    <n v="27423.79"/>
    <x v="1"/>
    <x v="0"/>
    <x v="1"/>
    <n v="103883.72"/>
    <x v="1"/>
  </r>
  <r>
    <n v="384"/>
    <s v="Taylor"/>
    <n v="495"/>
    <x v="0"/>
    <x v="0"/>
    <n v="55"/>
    <x v="9"/>
    <n v="174803.79"/>
    <x v="1"/>
    <x v="0"/>
    <x v="1"/>
    <n v="82707.83"/>
    <x v="1"/>
  </r>
  <r>
    <n v="385"/>
    <s v="Miller"/>
    <n v="723"/>
    <x v="0"/>
    <x v="0"/>
    <n v="67"/>
    <x v="4"/>
    <n v="222765.58"/>
    <x v="3"/>
    <x v="0"/>
    <x v="1"/>
    <n v="60737.81"/>
    <x v="0"/>
  </r>
  <r>
    <n v="386"/>
    <s v="Smith"/>
    <n v="791"/>
    <x v="0"/>
    <x v="0"/>
    <n v="38"/>
    <x v="9"/>
    <n v="13669.44"/>
    <x v="3"/>
    <x v="0"/>
    <x v="1"/>
    <n v="64850.98"/>
    <x v="0"/>
  </r>
  <r>
    <n v="387"/>
    <s v="Jones"/>
    <n v="359"/>
    <x v="1"/>
    <x v="1"/>
    <n v="74"/>
    <x v="10"/>
    <n v="70359.16"/>
    <x v="0"/>
    <x v="1"/>
    <x v="1"/>
    <n v="21108.79"/>
    <x v="0"/>
  </r>
  <r>
    <n v="388"/>
    <s v="Moore"/>
    <n v="842"/>
    <x v="1"/>
    <x v="1"/>
    <n v="79"/>
    <x v="9"/>
    <n v="99607.92999999999"/>
    <x v="1"/>
    <x v="0"/>
    <x v="1"/>
    <n v="134066.89"/>
    <x v="0"/>
  </r>
  <r>
    <n v="389"/>
    <s v="Brown"/>
    <n v="540"/>
    <x v="2"/>
    <x v="1"/>
    <n v="73"/>
    <x v="0"/>
    <n v="244670.66"/>
    <x v="3"/>
    <x v="0"/>
    <x v="1"/>
    <n v="12942.78"/>
    <x v="0"/>
  </r>
  <r>
    <n v="390"/>
    <s v="Johnson"/>
    <n v="429"/>
    <x v="2"/>
    <x v="1"/>
    <n v="41"/>
    <x v="10"/>
    <n v="110666.99"/>
    <x v="1"/>
    <x v="1"/>
    <x v="1"/>
    <n v="128261.18"/>
    <x v="1"/>
  </r>
  <r>
    <n v="391"/>
    <s v="Brown"/>
    <n v="580"/>
    <x v="2"/>
    <x v="1"/>
    <n v="75"/>
    <x v="1"/>
    <n v="206215.22"/>
    <x v="1"/>
    <x v="1"/>
    <x v="1"/>
    <n v="73777.07000000001"/>
    <x v="1"/>
  </r>
  <r>
    <n v="392"/>
    <s v="Davis"/>
    <n v="556"/>
    <x v="1"/>
    <x v="0"/>
    <n v="27"/>
    <x v="2"/>
    <n v="70279.97"/>
    <x v="2"/>
    <x v="1"/>
    <x v="0"/>
    <n v="35799.88"/>
    <x v="1"/>
  </r>
  <r>
    <n v="393"/>
    <s v="Smith"/>
    <n v="767"/>
    <x v="2"/>
    <x v="1"/>
    <n v="18"/>
    <x v="1"/>
    <n v="117042.43"/>
    <x v="1"/>
    <x v="1"/>
    <x v="0"/>
    <n v="97218.44"/>
    <x v="1"/>
  </r>
  <r>
    <n v="394"/>
    <s v="Jones"/>
    <n v="738"/>
    <x v="0"/>
    <x v="1"/>
    <n v="37"/>
    <x v="0"/>
    <n v="206465.41"/>
    <x v="3"/>
    <x v="0"/>
    <x v="1"/>
    <n v="81839.69"/>
    <x v="0"/>
  </r>
  <r>
    <n v="395"/>
    <s v="Johnson"/>
    <n v="750"/>
    <x v="2"/>
    <x v="1"/>
    <n v="89"/>
    <x v="0"/>
    <n v="192173.02"/>
    <x v="2"/>
    <x v="1"/>
    <x v="1"/>
    <n v="99695.37"/>
    <x v="1"/>
  </r>
  <r>
    <n v="396"/>
    <s v="Brown"/>
    <n v="578"/>
    <x v="1"/>
    <x v="0"/>
    <n v="68"/>
    <x v="4"/>
    <n v="59641.51"/>
    <x v="2"/>
    <x v="1"/>
    <x v="0"/>
    <n v="61207.9"/>
    <x v="1"/>
  </r>
  <r>
    <n v="397"/>
    <s v="Brown"/>
    <n v="677"/>
    <x v="2"/>
    <x v="1"/>
    <n v="56"/>
    <x v="0"/>
    <n v="63179.37"/>
    <x v="3"/>
    <x v="1"/>
    <x v="1"/>
    <n v="121798.16"/>
    <x v="0"/>
  </r>
  <r>
    <n v="398"/>
    <s v="Brown"/>
    <n v="668"/>
    <x v="0"/>
    <x v="1"/>
    <n v="85"/>
    <x v="9"/>
    <n v="137118.25"/>
    <x v="1"/>
    <x v="0"/>
    <x v="1"/>
    <n v="69952.50999999999"/>
    <x v="1"/>
  </r>
  <r>
    <n v="399"/>
    <s v="Smith"/>
    <n v="629"/>
    <x v="0"/>
    <x v="1"/>
    <n v="48"/>
    <x v="8"/>
    <n v="234503.75"/>
    <x v="1"/>
    <x v="0"/>
    <x v="0"/>
    <n v="64388.61"/>
    <x v="0"/>
  </r>
  <r>
    <n v="400"/>
    <s v="Smith"/>
    <n v="697"/>
    <x v="0"/>
    <x v="0"/>
    <n v="55"/>
    <x v="1"/>
    <n v="29981.98"/>
    <x v="1"/>
    <x v="0"/>
    <x v="0"/>
    <n v="97693.25999999999"/>
    <x v="1"/>
  </r>
  <r>
    <n v="401"/>
    <s v="Moore"/>
    <n v="716"/>
    <x v="1"/>
    <x v="1"/>
    <n v="74"/>
    <x v="5"/>
    <n v="193015.5"/>
    <x v="2"/>
    <x v="1"/>
    <x v="0"/>
    <n v="127051.78"/>
    <x v="0"/>
  </r>
  <r>
    <n v="402"/>
    <s v="Brown"/>
    <n v="357"/>
    <x v="0"/>
    <x v="1"/>
    <n v="23"/>
    <x v="3"/>
    <n v="184400.14"/>
    <x v="3"/>
    <x v="0"/>
    <x v="1"/>
    <n v="22278.37"/>
    <x v="0"/>
  </r>
  <r>
    <n v="403"/>
    <s v="Miller"/>
    <n v="628"/>
    <x v="2"/>
    <x v="0"/>
    <n v="77"/>
    <x v="4"/>
    <n v="212693.91"/>
    <x v="2"/>
    <x v="0"/>
    <x v="1"/>
    <n v="71242.42"/>
    <x v="1"/>
  </r>
  <r>
    <n v="404"/>
    <s v="Taylor"/>
    <n v="704"/>
    <x v="2"/>
    <x v="1"/>
    <n v="79"/>
    <x v="5"/>
    <n v="222300.09"/>
    <x v="2"/>
    <x v="1"/>
    <x v="0"/>
    <n v="76217.14"/>
    <x v="1"/>
  </r>
  <r>
    <n v="405"/>
    <s v="Jones"/>
    <n v="508"/>
    <x v="0"/>
    <x v="0"/>
    <n v="49"/>
    <x v="6"/>
    <n v="220856.36"/>
    <x v="1"/>
    <x v="1"/>
    <x v="1"/>
    <n v="84471.69"/>
    <x v="1"/>
  </r>
  <r>
    <n v="406"/>
    <s v="Jones"/>
    <n v="596"/>
    <x v="1"/>
    <x v="1"/>
    <n v="88"/>
    <x v="8"/>
    <n v="225228.97"/>
    <x v="0"/>
    <x v="1"/>
    <x v="1"/>
    <n v="55636.3"/>
    <x v="1"/>
  </r>
  <r>
    <n v="407"/>
    <s v="Williams"/>
    <n v="430"/>
    <x v="0"/>
    <x v="1"/>
    <n v="35"/>
    <x v="4"/>
    <n v="245176.21"/>
    <x v="1"/>
    <x v="1"/>
    <x v="1"/>
    <n v="35708.43"/>
    <x v="1"/>
  </r>
  <r>
    <n v="408"/>
    <s v="Johnson"/>
    <n v="505"/>
    <x v="2"/>
    <x v="0"/>
    <n v="49"/>
    <x v="0"/>
    <n v="83107.39"/>
    <x v="0"/>
    <x v="1"/>
    <x v="1"/>
    <n v="41989.11"/>
    <x v="0"/>
  </r>
  <r>
    <n v="409"/>
    <s v="Williams"/>
    <n v="397"/>
    <x v="2"/>
    <x v="0"/>
    <n v="49"/>
    <x v="5"/>
    <n v="232252.83"/>
    <x v="3"/>
    <x v="1"/>
    <x v="1"/>
    <n v="44531.43"/>
    <x v="0"/>
  </r>
  <r>
    <n v="410"/>
    <s v="Johnson"/>
    <n v="845"/>
    <x v="0"/>
    <x v="1"/>
    <n v="57"/>
    <x v="1"/>
    <n v="236890.08"/>
    <x v="2"/>
    <x v="1"/>
    <x v="0"/>
    <n v="67984.02"/>
    <x v="1"/>
  </r>
  <r>
    <n v="411"/>
    <s v="Jones"/>
    <n v="464"/>
    <x v="1"/>
    <x v="1"/>
    <n v="68"/>
    <x v="0"/>
    <n v="162045.57"/>
    <x v="1"/>
    <x v="1"/>
    <x v="0"/>
    <n v="87532.67"/>
    <x v="1"/>
  </r>
  <r>
    <n v="412"/>
    <s v="Brown"/>
    <n v="361"/>
    <x v="2"/>
    <x v="1"/>
    <n v="56"/>
    <x v="1"/>
    <n v="166147.69"/>
    <x v="3"/>
    <x v="0"/>
    <x v="0"/>
    <n v="56454.41"/>
    <x v="1"/>
  </r>
  <r>
    <n v="413"/>
    <s v="Johnson"/>
    <n v="821"/>
    <x v="1"/>
    <x v="1"/>
    <n v="86"/>
    <x v="7"/>
    <n v="89639.64"/>
    <x v="0"/>
    <x v="0"/>
    <x v="0"/>
    <n v="125590.02"/>
    <x v="1"/>
  </r>
  <r>
    <n v="414"/>
    <s v="Johnson"/>
    <n v="684"/>
    <x v="0"/>
    <x v="1"/>
    <n v="57"/>
    <x v="8"/>
    <n v="186325.98"/>
    <x v="2"/>
    <x v="1"/>
    <x v="0"/>
    <n v="76620.28999999999"/>
    <x v="0"/>
  </r>
  <r>
    <n v="415"/>
    <s v="Smith"/>
    <n v="837"/>
    <x v="2"/>
    <x v="0"/>
    <n v="31"/>
    <x v="6"/>
    <n v="150640.24"/>
    <x v="2"/>
    <x v="1"/>
    <x v="0"/>
    <n v="52816.7"/>
    <x v="1"/>
  </r>
  <r>
    <n v="416"/>
    <s v="Wilson"/>
    <n v="636"/>
    <x v="2"/>
    <x v="1"/>
    <n v="53"/>
    <x v="1"/>
    <n v="196579.74"/>
    <x v="3"/>
    <x v="0"/>
    <x v="0"/>
    <n v="58389.15"/>
    <x v="1"/>
  </r>
  <r>
    <n v="417"/>
    <s v="Moore"/>
    <n v="440"/>
    <x v="2"/>
    <x v="0"/>
    <n v="29"/>
    <x v="4"/>
    <n v="38378.4"/>
    <x v="3"/>
    <x v="1"/>
    <x v="0"/>
    <n v="148498.85"/>
    <x v="1"/>
  </r>
  <r>
    <n v="418"/>
    <s v="Brown"/>
    <n v="640"/>
    <x v="2"/>
    <x v="1"/>
    <n v="72"/>
    <x v="7"/>
    <n v="203648.16"/>
    <x v="3"/>
    <x v="1"/>
    <x v="0"/>
    <n v="102614.36"/>
    <x v="1"/>
  </r>
  <r>
    <n v="419"/>
    <s v="Jones"/>
    <n v="404"/>
    <x v="2"/>
    <x v="1"/>
    <n v="54"/>
    <x v="5"/>
    <n v="180845.4"/>
    <x v="1"/>
    <x v="1"/>
    <x v="1"/>
    <n v="67354.75999999999"/>
    <x v="1"/>
  </r>
  <r>
    <n v="420"/>
    <s v="Davis"/>
    <n v="687"/>
    <x v="2"/>
    <x v="1"/>
    <n v="69"/>
    <x v="1"/>
    <n v="136486.33"/>
    <x v="2"/>
    <x v="1"/>
    <x v="0"/>
    <n v="135558.76"/>
    <x v="0"/>
  </r>
  <r>
    <n v="421"/>
    <s v="Miller"/>
    <n v="513"/>
    <x v="0"/>
    <x v="0"/>
    <n v="52"/>
    <x v="8"/>
    <n v="64929.13"/>
    <x v="3"/>
    <x v="0"/>
    <x v="1"/>
    <n v="117045.7"/>
    <x v="0"/>
  </r>
  <r>
    <n v="422"/>
    <s v="Jones"/>
    <n v="421"/>
    <x v="2"/>
    <x v="1"/>
    <n v="76"/>
    <x v="8"/>
    <n v="24418.55"/>
    <x v="0"/>
    <x v="1"/>
    <x v="1"/>
    <n v="131045.9"/>
    <x v="0"/>
  </r>
  <r>
    <n v="423"/>
    <s v="Williams"/>
    <n v="715"/>
    <x v="2"/>
    <x v="1"/>
    <n v="46"/>
    <x v="2"/>
    <n v="121208.33"/>
    <x v="1"/>
    <x v="0"/>
    <x v="0"/>
    <n v="32556.34"/>
    <x v="1"/>
  </r>
  <r>
    <n v="424"/>
    <s v="Taylor"/>
    <n v="665"/>
    <x v="0"/>
    <x v="0"/>
    <n v="27"/>
    <x v="10"/>
    <n v="36155.39"/>
    <x v="0"/>
    <x v="1"/>
    <x v="0"/>
    <n v="122338.51"/>
    <x v="1"/>
  </r>
  <r>
    <n v="425"/>
    <s v="Moore"/>
    <n v="462"/>
    <x v="2"/>
    <x v="0"/>
    <n v="26"/>
    <x v="10"/>
    <n v="190443.29"/>
    <x v="2"/>
    <x v="0"/>
    <x v="0"/>
    <n v="77215.99000000001"/>
    <x v="1"/>
  </r>
  <r>
    <n v="426"/>
    <s v="Johnson"/>
    <n v="771"/>
    <x v="2"/>
    <x v="1"/>
    <n v="35"/>
    <x v="1"/>
    <n v="231139.73"/>
    <x v="2"/>
    <x v="0"/>
    <x v="0"/>
    <n v="19540.71"/>
    <x v="1"/>
  </r>
  <r>
    <n v="427"/>
    <s v="Brown"/>
    <n v="418"/>
    <x v="0"/>
    <x v="1"/>
    <n v="43"/>
    <x v="0"/>
    <n v="205080.33"/>
    <x v="0"/>
    <x v="1"/>
    <x v="1"/>
    <n v="22885.14"/>
    <x v="1"/>
  </r>
  <r>
    <n v="428"/>
    <s v="Smith"/>
    <n v="787"/>
    <x v="2"/>
    <x v="1"/>
    <n v="77"/>
    <x v="8"/>
    <n v="82614.73"/>
    <x v="1"/>
    <x v="0"/>
    <x v="0"/>
    <n v="90275.78"/>
    <x v="0"/>
  </r>
  <r>
    <n v="429"/>
    <s v="Moore"/>
    <n v="363"/>
    <x v="2"/>
    <x v="1"/>
    <n v="77"/>
    <x v="3"/>
    <n v="36501.09"/>
    <x v="3"/>
    <x v="0"/>
    <x v="1"/>
    <n v="64420.16"/>
    <x v="1"/>
  </r>
  <r>
    <n v="430"/>
    <s v="Jones"/>
    <n v="451"/>
    <x v="0"/>
    <x v="0"/>
    <n v="76"/>
    <x v="5"/>
    <n v="1978.31"/>
    <x v="3"/>
    <x v="0"/>
    <x v="0"/>
    <n v="19915.18"/>
    <x v="1"/>
  </r>
  <r>
    <n v="431"/>
    <s v="Taylor"/>
    <n v="625"/>
    <x v="2"/>
    <x v="0"/>
    <n v="36"/>
    <x v="3"/>
    <n v="165914.53"/>
    <x v="3"/>
    <x v="0"/>
    <x v="0"/>
    <n v="71091.44"/>
    <x v="0"/>
  </r>
  <r>
    <n v="432"/>
    <s v="Davis"/>
    <n v="713"/>
    <x v="0"/>
    <x v="1"/>
    <n v="30"/>
    <x v="3"/>
    <n v="46903.02"/>
    <x v="3"/>
    <x v="0"/>
    <x v="1"/>
    <n v="120900.9"/>
    <x v="0"/>
  </r>
  <r>
    <n v="433"/>
    <s v="Davis"/>
    <n v="614"/>
    <x v="2"/>
    <x v="0"/>
    <n v="19"/>
    <x v="3"/>
    <n v="179138.58"/>
    <x v="3"/>
    <x v="1"/>
    <x v="0"/>
    <n v="40101.64"/>
    <x v="1"/>
  </r>
  <r>
    <n v="434"/>
    <s v="Johnson"/>
    <n v="702"/>
    <x v="2"/>
    <x v="0"/>
    <n v="45"/>
    <x v="8"/>
    <n v="143858.2"/>
    <x v="0"/>
    <x v="1"/>
    <x v="1"/>
    <n v="111156.24"/>
    <x v="1"/>
  </r>
  <r>
    <n v="435"/>
    <s v="Wilson"/>
    <n v="559"/>
    <x v="0"/>
    <x v="0"/>
    <n v="28"/>
    <x v="6"/>
    <n v="117504.37"/>
    <x v="0"/>
    <x v="0"/>
    <x v="1"/>
    <n v="69683.2"/>
    <x v="1"/>
  </r>
  <r>
    <n v="436"/>
    <s v="Moore"/>
    <n v="547"/>
    <x v="1"/>
    <x v="0"/>
    <n v="85"/>
    <x v="6"/>
    <n v="191884.81"/>
    <x v="1"/>
    <x v="0"/>
    <x v="1"/>
    <n v="56017.64"/>
    <x v="1"/>
  </r>
  <r>
    <n v="437"/>
    <s v="Miller"/>
    <n v="730"/>
    <x v="0"/>
    <x v="0"/>
    <n v="79"/>
    <x v="10"/>
    <n v="245266.56"/>
    <x v="2"/>
    <x v="0"/>
    <x v="1"/>
    <n v="68485.74000000001"/>
    <x v="1"/>
  </r>
  <r>
    <n v="438"/>
    <s v="Brown"/>
    <n v="450"/>
    <x v="1"/>
    <x v="1"/>
    <n v="34"/>
    <x v="4"/>
    <n v="32148.54"/>
    <x v="3"/>
    <x v="1"/>
    <x v="1"/>
    <n v="99026.41"/>
    <x v="0"/>
  </r>
  <r>
    <n v="439"/>
    <s v="Wilson"/>
    <n v="735"/>
    <x v="1"/>
    <x v="1"/>
    <n v="45"/>
    <x v="5"/>
    <n v="137629.67"/>
    <x v="2"/>
    <x v="1"/>
    <x v="1"/>
    <n v="63609.91"/>
    <x v="0"/>
  </r>
  <r>
    <n v="440"/>
    <s v="Jones"/>
    <n v="603"/>
    <x v="2"/>
    <x v="0"/>
    <n v="24"/>
    <x v="3"/>
    <n v="78305.72"/>
    <x v="3"/>
    <x v="1"/>
    <x v="1"/>
    <n v="84684"/>
    <x v="0"/>
  </r>
  <r>
    <n v="441"/>
    <s v="Davis"/>
    <n v="507"/>
    <x v="0"/>
    <x v="1"/>
    <n v="18"/>
    <x v="0"/>
    <n v="6988.85"/>
    <x v="3"/>
    <x v="0"/>
    <x v="1"/>
    <n v="20477.41"/>
    <x v="1"/>
  </r>
  <r>
    <n v="442"/>
    <s v="Jones"/>
    <n v="739"/>
    <x v="1"/>
    <x v="0"/>
    <n v="25"/>
    <x v="7"/>
    <n v="7336.57"/>
    <x v="0"/>
    <x v="0"/>
    <x v="0"/>
    <n v="102957.36"/>
    <x v="1"/>
  </r>
  <r>
    <n v="443"/>
    <s v="Miller"/>
    <n v="814"/>
    <x v="1"/>
    <x v="0"/>
    <n v="43"/>
    <x v="10"/>
    <n v="144405.5"/>
    <x v="1"/>
    <x v="1"/>
    <x v="1"/>
    <n v="30241.09"/>
    <x v="1"/>
  </r>
  <r>
    <n v="444"/>
    <s v="Brown"/>
    <n v="580"/>
    <x v="1"/>
    <x v="0"/>
    <n v="85"/>
    <x v="10"/>
    <n v="20728.86"/>
    <x v="3"/>
    <x v="1"/>
    <x v="1"/>
    <n v="33648.46"/>
    <x v="1"/>
  </r>
  <r>
    <n v="445"/>
    <s v="Wilson"/>
    <n v="774"/>
    <x v="1"/>
    <x v="0"/>
    <n v="77"/>
    <x v="5"/>
    <n v="10982.07"/>
    <x v="2"/>
    <x v="0"/>
    <x v="0"/>
    <n v="107521.29"/>
    <x v="0"/>
  </r>
  <r>
    <n v="446"/>
    <s v="Jones"/>
    <n v="500"/>
    <x v="0"/>
    <x v="0"/>
    <n v="54"/>
    <x v="3"/>
    <n v="43219.63"/>
    <x v="1"/>
    <x v="1"/>
    <x v="1"/>
    <n v="148736.87"/>
    <x v="1"/>
  </r>
  <r>
    <n v="447"/>
    <s v="Smith"/>
    <n v="380"/>
    <x v="2"/>
    <x v="1"/>
    <n v="62"/>
    <x v="0"/>
    <n v="114966.17"/>
    <x v="0"/>
    <x v="1"/>
    <x v="1"/>
    <n v="136504.93"/>
    <x v="1"/>
  </r>
  <r>
    <n v="448"/>
    <s v="Davis"/>
    <n v="605"/>
    <x v="2"/>
    <x v="1"/>
    <n v="90"/>
    <x v="2"/>
    <n v="125191.91"/>
    <x v="3"/>
    <x v="1"/>
    <x v="1"/>
    <n v="74035.92999999999"/>
    <x v="1"/>
  </r>
  <r>
    <n v="449"/>
    <s v="Taylor"/>
    <n v="369"/>
    <x v="1"/>
    <x v="1"/>
    <n v="56"/>
    <x v="0"/>
    <n v="228816.63"/>
    <x v="0"/>
    <x v="0"/>
    <x v="1"/>
    <n v="52394"/>
    <x v="0"/>
  </r>
  <r>
    <n v="450"/>
    <s v="Jones"/>
    <n v="610"/>
    <x v="2"/>
    <x v="1"/>
    <n v="60"/>
    <x v="5"/>
    <n v="104917.3"/>
    <x v="3"/>
    <x v="1"/>
    <x v="1"/>
    <n v="72303.2"/>
    <x v="1"/>
  </r>
  <r>
    <n v="451"/>
    <s v="Wilson"/>
    <n v="498"/>
    <x v="1"/>
    <x v="1"/>
    <n v="54"/>
    <x v="10"/>
    <n v="26944.7"/>
    <x v="2"/>
    <x v="1"/>
    <x v="0"/>
    <n v="88360.27"/>
    <x v="0"/>
  </r>
  <r>
    <n v="452"/>
    <s v="Davis"/>
    <n v="712"/>
    <x v="2"/>
    <x v="1"/>
    <n v="86"/>
    <x v="3"/>
    <n v="57728.98"/>
    <x v="1"/>
    <x v="0"/>
    <x v="1"/>
    <n v="46958.37"/>
    <x v="0"/>
  </r>
  <r>
    <n v="453"/>
    <s v="Davis"/>
    <n v="424"/>
    <x v="2"/>
    <x v="1"/>
    <n v="31"/>
    <x v="10"/>
    <n v="236352.17"/>
    <x v="2"/>
    <x v="1"/>
    <x v="0"/>
    <n v="111036.69"/>
    <x v="1"/>
  </r>
  <r>
    <n v="454"/>
    <s v="Moore"/>
    <n v="473"/>
    <x v="0"/>
    <x v="0"/>
    <n v="31"/>
    <x v="8"/>
    <n v="148788.01"/>
    <x v="3"/>
    <x v="0"/>
    <x v="1"/>
    <n v="13370.94"/>
    <x v="1"/>
  </r>
  <r>
    <n v="455"/>
    <s v="Smith"/>
    <n v="801"/>
    <x v="1"/>
    <x v="1"/>
    <n v="59"/>
    <x v="9"/>
    <n v="88835.64999999999"/>
    <x v="3"/>
    <x v="0"/>
    <x v="0"/>
    <n v="141964.46"/>
    <x v="0"/>
  </r>
  <r>
    <n v="456"/>
    <s v="Moore"/>
    <n v="564"/>
    <x v="0"/>
    <x v="1"/>
    <n v="90"/>
    <x v="6"/>
    <n v="223177.88"/>
    <x v="0"/>
    <x v="0"/>
    <x v="1"/>
    <n v="111640.94"/>
    <x v="0"/>
  </r>
  <r>
    <n v="457"/>
    <s v="Jones"/>
    <n v="666"/>
    <x v="2"/>
    <x v="0"/>
    <n v="24"/>
    <x v="4"/>
    <n v="75143.55"/>
    <x v="1"/>
    <x v="0"/>
    <x v="0"/>
    <n v="132228.18"/>
    <x v="0"/>
  </r>
  <r>
    <n v="458"/>
    <s v="Miller"/>
    <n v="579"/>
    <x v="1"/>
    <x v="1"/>
    <n v="30"/>
    <x v="6"/>
    <n v="220273.68"/>
    <x v="2"/>
    <x v="1"/>
    <x v="0"/>
    <n v="57395.97"/>
    <x v="0"/>
  </r>
  <r>
    <n v="459"/>
    <s v="Taylor"/>
    <n v="600"/>
    <x v="1"/>
    <x v="0"/>
    <n v="21"/>
    <x v="8"/>
    <n v="30283.43"/>
    <x v="1"/>
    <x v="1"/>
    <x v="0"/>
    <n v="140478.74"/>
    <x v="1"/>
  </r>
  <r>
    <n v="460"/>
    <s v="Jones"/>
    <n v="443"/>
    <x v="1"/>
    <x v="1"/>
    <n v="34"/>
    <x v="7"/>
    <n v="234557.34"/>
    <x v="3"/>
    <x v="1"/>
    <x v="1"/>
    <n v="148617.01"/>
    <x v="1"/>
  </r>
  <r>
    <n v="461"/>
    <s v="Williams"/>
    <n v="519"/>
    <x v="1"/>
    <x v="0"/>
    <n v="23"/>
    <x v="3"/>
    <n v="234421.59"/>
    <x v="2"/>
    <x v="0"/>
    <x v="0"/>
    <n v="35122.36"/>
    <x v="1"/>
  </r>
  <r>
    <n v="462"/>
    <s v="Wilson"/>
    <n v="390"/>
    <x v="1"/>
    <x v="1"/>
    <n v="58"/>
    <x v="4"/>
    <n v="86317.46000000001"/>
    <x v="0"/>
    <x v="1"/>
    <x v="0"/>
    <n v="90411.33"/>
    <x v="1"/>
  </r>
  <r>
    <n v="463"/>
    <s v="Smith"/>
    <n v="538"/>
    <x v="1"/>
    <x v="0"/>
    <n v="73"/>
    <x v="6"/>
    <n v="4387.19"/>
    <x v="3"/>
    <x v="0"/>
    <x v="0"/>
    <n v="131348.78"/>
    <x v="1"/>
  </r>
  <r>
    <n v="464"/>
    <s v="Jones"/>
    <n v="559"/>
    <x v="2"/>
    <x v="1"/>
    <n v="47"/>
    <x v="8"/>
    <n v="88260.36"/>
    <x v="0"/>
    <x v="1"/>
    <x v="1"/>
    <n v="16813.42"/>
    <x v="1"/>
  </r>
  <r>
    <n v="465"/>
    <s v="Smith"/>
    <n v="529"/>
    <x v="1"/>
    <x v="0"/>
    <n v="71"/>
    <x v="4"/>
    <n v="45202.75"/>
    <x v="2"/>
    <x v="0"/>
    <x v="0"/>
    <n v="118614.97"/>
    <x v="0"/>
  </r>
  <r>
    <n v="466"/>
    <s v="Jones"/>
    <n v="646"/>
    <x v="2"/>
    <x v="1"/>
    <n v="40"/>
    <x v="0"/>
    <n v="66516.78"/>
    <x v="2"/>
    <x v="0"/>
    <x v="0"/>
    <n v="14893.47"/>
    <x v="1"/>
  </r>
  <r>
    <n v="467"/>
    <s v="Miller"/>
    <n v="409"/>
    <x v="0"/>
    <x v="1"/>
    <n v="41"/>
    <x v="1"/>
    <n v="156420.72"/>
    <x v="3"/>
    <x v="0"/>
    <x v="1"/>
    <n v="101660.52"/>
    <x v="0"/>
  </r>
  <r>
    <n v="468"/>
    <s v="Johnson"/>
    <n v="840"/>
    <x v="2"/>
    <x v="0"/>
    <n v="54"/>
    <x v="6"/>
    <n v="110774.55"/>
    <x v="3"/>
    <x v="1"/>
    <x v="0"/>
    <n v="23399.15"/>
    <x v="1"/>
  </r>
  <r>
    <n v="469"/>
    <s v="Taylor"/>
    <n v="828"/>
    <x v="0"/>
    <x v="0"/>
    <n v="77"/>
    <x v="5"/>
    <n v="184078.17"/>
    <x v="0"/>
    <x v="0"/>
    <x v="1"/>
    <n v="24061.04"/>
    <x v="1"/>
  </r>
  <r>
    <n v="470"/>
    <s v="Williams"/>
    <n v="379"/>
    <x v="1"/>
    <x v="1"/>
    <n v="52"/>
    <x v="2"/>
    <n v="159259.26"/>
    <x v="3"/>
    <x v="0"/>
    <x v="1"/>
    <n v="50254.16"/>
    <x v="0"/>
  </r>
  <r>
    <n v="471"/>
    <s v="Taylor"/>
    <n v="575"/>
    <x v="2"/>
    <x v="1"/>
    <n v="88"/>
    <x v="8"/>
    <n v="75139.3"/>
    <x v="1"/>
    <x v="1"/>
    <x v="1"/>
    <n v="62313.56"/>
    <x v="0"/>
  </r>
  <r>
    <n v="472"/>
    <s v="Brown"/>
    <n v="444"/>
    <x v="2"/>
    <x v="1"/>
    <n v="24"/>
    <x v="10"/>
    <n v="80969.13"/>
    <x v="1"/>
    <x v="0"/>
    <x v="0"/>
    <n v="80855.00999999999"/>
    <x v="1"/>
  </r>
  <r>
    <n v="473"/>
    <s v="Taylor"/>
    <n v="588"/>
    <x v="2"/>
    <x v="0"/>
    <n v="35"/>
    <x v="9"/>
    <n v="199536.6"/>
    <x v="0"/>
    <x v="0"/>
    <x v="1"/>
    <n v="19461.59"/>
    <x v="1"/>
  </r>
  <r>
    <n v="474"/>
    <s v="Johnson"/>
    <n v="515"/>
    <x v="0"/>
    <x v="0"/>
    <n v="66"/>
    <x v="3"/>
    <n v="133040.76"/>
    <x v="0"/>
    <x v="1"/>
    <x v="0"/>
    <n v="64833.38"/>
    <x v="0"/>
  </r>
  <r>
    <n v="475"/>
    <s v="Jones"/>
    <n v="732"/>
    <x v="1"/>
    <x v="0"/>
    <n v="55"/>
    <x v="5"/>
    <n v="31845.15"/>
    <x v="3"/>
    <x v="0"/>
    <x v="1"/>
    <n v="144035.23"/>
    <x v="1"/>
  </r>
  <r>
    <n v="476"/>
    <s v="Williams"/>
    <n v="566"/>
    <x v="2"/>
    <x v="0"/>
    <n v="18"/>
    <x v="5"/>
    <n v="146680.78"/>
    <x v="3"/>
    <x v="1"/>
    <x v="0"/>
    <n v="76895.64"/>
    <x v="0"/>
  </r>
  <r>
    <n v="477"/>
    <s v="Brown"/>
    <n v="622"/>
    <x v="0"/>
    <x v="0"/>
    <n v="22"/>
    <x v="3"/>
    <n v="34494.73"/>
    <x v="1"/>
    <x v="0"/>
    <x v="1"/>
    <n v="146557.31"/>
    <x v="0"/>
  </r>
  <r>
    <n v="478"/>
    <s v="Taylor"/>
    <n v="705"/>
    <x v="2"/>
    <x v="0"/>
    <n v="78"/>
    <x v="4"/>
    <n v="217177.04"/>
    <x v="0"/>
    <x v="1"/>
    <x v="0"/>
    <n v="142428.83"/>
    <x v="1"/>
  </r>
  <r>
    <n v="479"/>
    <s v="Wilson"/>
    <n v="517"/>
    <x v="2"/>
    <x v="1"/>
    <n v="28"/>
    <x v="2"/>
    <n v="32317.55"/>
    <x v="0"/>
    <x v="0"/>
    <x v="0"/>
    <n v="48172.94"/>
    <x v="1"/>
  </r>
  <r>
    <n v="480"/>
    <s v="Brown"/>
    <n v="507"/>
    <x v="2"/>
    <x v="0"/>
    <n v="47"/>
    <x v="7"/>
    <n v="167352.03"/>
    <x v="1"/>
    <x v="1"/>
    <x v="1"/>
    <n v="124013.91"/>
    <x v="0"/>
  </r>
  <r>
    <n v="481"/>
    <s v="Taylor"/>
    <n v="415"/>
    <x v="2"/>
    <x v="1"/>
    <n v="31"/>
    <x v="6"/>
    <n v="224202.59"/>
    <x v="0"/>
    <x v="0"/>
    <x v="0"/>
    <n v="58513.24"/>
    <x v="0"/>
  </r>
  <r>
    <n v="482"/>
    <s v="Brown"/>
    <n v="629"/>
    <x v="0"/>
    <x v="0"/>
    <n v="37"/>
    <x v="10"/>
    <n v="24530.88"/>
    <x v="3"/>
    <x v="0"/>
    <x v="0"/>
    <n v="100372.28"/>
    <x v="0"/>
  </r>
  <r>
    <n v="483"/>
    <s v="Johnson"/>
    <n v="550"/>
    <x v="1"/>
    <x v="0"/>
    <n v="59"/>
    <x v="6"/>
    <n v="132558.04"/>
    <x v="0"/>
    <x v="0"/>
    <x v="0"/>
    <n v="55627.46"/>
    <x v="0"/>
  </r>
  <r>
    <n v="484"/>
    <s v="Williams"/>
    <n v="734"/>
    <x v="1"/>
    <x v="0"/>
    <n v="62"/>
    <x v="4"/>
    <n v="239522.72"/>
    <x v="0"/>
    <x v="1"/>
    <x v="1"/>
    <n v="37534.69"/>
    <x v="0"/>
  </r>
  <r>
    <n v="485"/>
    <s v="Wilson"/>
    <n v="437"/>
    <x v="2"/>
    <x v="1"/>
    <n v="69"/>
    <x v="1"/>
    <n v="69485.69"/>
    <x v="3"/>
    <x v="0"/>
    <x v="1"/>
    <n v="91069.46000000001"/>
    <x v="0"/>
  </r>
  <r>
    <n v="486"/>
    <s v="Williams"/>
    <n v="643"/>
    <x v="0"/>
    <x v="0"/>
    <n v="34"/>
    <x v="1"/>
    <n v="70266.98"/>
    <x v="3"/>
    <x v="1"/>
    <x v="1"/>
    <n v="129097.79"/>
    <x v="1"/>
  </r>
  <r>
    <n v="487"/>
    <s v="Jones"/>
    <n v="717"/>
    <x v="1"/>
    <x v="1"/>
    <n v="55"/>
    <x v="1"/>
    <n v="117513.1"/>
    <x v="1"/>
    <x v="1"/>
    <x v="0"/>
    <n v="143986.04"/>
    <x v="1"/>
  </r>
  <r>
    <n v="488"/>
    <s v="Taylor"/>
    <n v="797"/>
    <x v="1"/>
    <x v="1"/>
    <n v="32"/>
    <x v="9"/>
    <n v="236925.82"/>
    <x v="1"/>
    <x v="1"/>
    <x v="1"/>
    <n v="46753.37"/>
    <x v="1"/>
  </r>
  <r>
    <n v="489"/>
    <s v="Wilson"/>
    <n v="760"/>
    <x v="2"/>
    <x v="0"/>
    <n v="54"/>
    <x v="6"/>
    <n v="200253.42"/>
    <x v="1"/>
    <x v="0"/>
    <x v="1"/>
    <n v="105135.87"/>
    <x v="0"/>
  </r>
  <r>
    <n v="490"/>
    <s v="Miller"/>
    <n v="567"/>
    <x v="2"/>
    <x v="0"/>
    <n v="22"/>
    <x v="10"/>
    <n v="67796.41"/>
    <x v="2"/>
    <x v="0"/>
    <x v="1"/>
    <n v="125551.64"/>
    <x v="0"/>
  </r>
  <r>
    <n v="491"/>
    <s v="Miller"/>
    <n v="695"/>
    <x v="0"/>
    <x v="0"/>
    <n v="65"/>
    <x v="6"/>
    <n v="57896.34"/>
    <x v="2"/>
    <x v="0"/>
    <x v="1"/>
    <n v="39633.65"/>
    <x v="0"/>
  </r>
  <r>
    <n v="492"/>
    <s v="Williams"/>
    <n v="484"/>
    <x v="1"/>
    <x v="1"/>
    <n v="18"/>
    <x v="7"/>
    <n v="49654.19"/>
    <x v="0"/>
    <x v="1"/>
    <x v="1"/>
    <n v="81684.84"/>
    <x v="1"/>
  </r>
  <r>
    <n v="493"/>
    <s v="Jones"/>
    <n v="566"/>
    <x v="2"/>
    <x v="1"/>
    <n v="67"/>
    <x v="9"/>
    <n v="107431.37"/>
    <x v="3"/>
    <x v="0"/>
    <x v="0"/>
    <n v="136772.28"/>
    <x v="0"/>
  </r>
  <r>
    <n v="494"/>
    <s v="Miller"/>
    <n v="813"/>
    <x v="0"/>
    <x v="0"/>
    <n v="55"/>
    <x v="5"/>
    <n v="201976.42"/>
    <x v="0"/>
    <x v="1"/>
    <x v="1"/>
    <n v="131084.15"/>
    <x v="0"/>
  </r>
  <r>
    <n v="495"/>
    <s v="Smith"/>
    <n v="451"/>
    <x v="0"/>
    <x v="0"/>
    <n v="62"/>
    <x v="0"/>
    <n v="38075.55"/>
    <x v="3"/>
    <x v="1"/>
    <x v="1"/>
    <n v="11580.61"/>
    <x v="0"/>
  </r>
  <r>
    <n v="496"/>
    <s v="Moore"/>
    <n v="647"/>
    <x v="0"/>
    <x v="0"/>
    <n v="87"/>
    <x v="0"/>
    <n v="154264.92"/>
    <x v="3"/>
    <x v="0"/>
    <x v="0"/>
    <n v="97382.98"/>
    <x v="1"/>
  </r>
  <r>
    <n v="497"/>
    <s v="Smith"/>
    <n v="751"/>
    <x v="1"/>
    <x v="1"/>
    <n v="34"/>
    <x v="7"/>
    <n v="118072.6"/>
    <x v="0"/>
    <x v="1"/>
    <x v="1"/>
    <n v="98955.37"/>
    <x v="1"/>
  </r>
  <r>
    <n v="498"/>
    <s v="Wilson"/>
    <n v="814"/>
    <x v="1"/>
    <x v="1"/>
    <n v="34"/>
    <x v="10"/>
    <n v="161580.2"/>
    <x v="0"/>
    <x v="1"/>
    <x v="0"/>
    <n v="148752.49"/>
    <x v="0"/>
  </r>
  <r>
    <n v="499"/>
    <s v="Miller"/>
    <n v="718"/>
    <x v="1"/>
    <x v="0"/>
    <n v="28"/>
    <x v="3"/>
    <n v="100871.3"/>
    <x v="2"/>
    <x v="1"/>
    <x v="0"/>
    <n v="106391.64"/>
    <x v="1"/>
  </r>
  <r>
    <n v="500"/>
    <s v="Davis"/>
    <n v="393"/>
    <x v="0"/>
    <x v="0"/>
    <n v="23"/>
    <x v="10"/>
    <n v="189955.55"/>
    <x v="0"/>
    <x v="0"/>
    <x v="1"/>
    <n v="85565.14"/>
    <x v="1"/>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1" cacheId="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B7" firstHeaderRow="1" firstDataRow="1" firstDataCol="1"/>
  <pivotFields count="1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4">
        <item t="data" sd="1" x="2"/>
        <item t="data" sd="1" x="0"/>
        <item t="data" sd="1" x="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3"/>
  </rowFields>
  <rowItems count="4">
    <i t="data" r="0" i="0">
      <x v="0"/>
    </i>
    <i t="data" r="0" i="0">
      <x v="1"/>
    </i>
    <i t="data" r="0" i="0">
      <x v="2"/>
    </i>
    <i t="grand" r="0" i="0">
      <x v="0"/>
    </i>
  </rowItems>
  <colItems count="1">
    <i t="data" r="0" i="0"/>
  </colItems>
  <dataFields count="1">
    <dataField name="Average of CreditScore" fld="2" subtotal="average" showDataAs="normal" baseField="3" baseItem="0"/>
  </dataField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2" cacheId="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D8" firstHeaderRow="1" firstDataRow="2" firstDataCol="1"/>
  <pivotFields count="1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4">
        <item t="data" sd="1" x="2"/>
        <item t="data" sd="1" x="0"/>
        <item t="data" sd="1" x="1"/>
        <item t="default" sd="1"/>
      </items>
    </pivotField>
    <pivotField axis="axisCol" showDropDowns="1" compact="1" outline="1" subtotalTop="1" dragToRow="1" dragToCol="1" dragToPage="1" dragToData="1" dragOff="1" showAll="0" topAutoShow="1" itemPageCount="10" sortType="manual" defaultSubtotal="1">
      <items count="3">
        <item t="data" sd="1" x="1"/>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3"/>
  </rowFields>
  <rowItems count="4">
    <i t="data" r="0" i="0">
      <x v="0"/>
    </i>
    <i t="data" r="0" i="0">
      <x v="1"/>
    </i>
    <i t="data" r="0" i="0">
      <x v="2"/>
    </i>
    <i t="grand" r="0" i="0">
      <x v="0"/>
    </i>
  </rowItems>
  <colFields count="1">
    <field x="4"/>
  </colFields>
  <colItems count="3">
    <i t="data" r="0" i="0">
      <x v="0"/>
    </i>
    <i t="data" r="0" i="0">
      <x v="1"/>
    </i>
    <i t="grand" r="0" i="0">
      <x v="0"/>
    </i>
  </colItems>
  <dataFields count="1">
    <dataField name="Average of Balance" fld="7" subtotal="average" showDataAs="normal" baseField="3" baseItem="0"/>
  </dataField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Table3" cacheId="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D7" firstHeaderRow="1" firstDataRow="2" firstDataCol="1"/>
  <pivotFields count="13">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3">
        <item t="data" sd="1" x="1"/>
        <item t="data" sd="1" x="0"/>
        <item t="default" sd="1"/>
      </items>
    </pivotField>
    <pivotField axis="axisCol"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9"/>
  </rowFields>
  <rowItems count="3">
    <i t="data" r="0" i="0">
      <x v="0"/>
    </i>
    <i t="data" r="0" i="0">
      <x v="1"/>
    </i>
    <i t="grand" r="0" i="0">
      <x v="0"/>
    </i>
  </rowItems>
  <colFields count="1">
    <field x="10"/>
  </colFields>
  <colItems count="3">
    <i t="data" r="0" i="0">
      <x v="0"/>
    </i>
    <i t="data" r="0" i="0">
      <x v="1"/>
    </i>
    <i t="grand" r="0" i="0">
      <x v="0"/>
    </i>
  </colItems>
  <dataFields count="1">
    <dataField name="Count of CustomerID" fld="0" subtotal="count" showDataAs="normal" baseField="9" baseItem="0"/>
  </dataField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PivotTable4" cacheId="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C8" firstHeaderRow="0" firstDataRow="1" firstDataCol="1"/>
  <pivotFields count="1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5">
        <item t="data" sd="1" x="1"/>
        <item t="data" sd="1" x="3"/>
        <item t="data" sd="1" x="0"/>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8"/>
  </rowFields>
  <rowItems count="5">
    <i t="data" r="0" i="0">
      <x v="0"/>
    </i>
    <i t="data" r="0" i="0">
      <x v="1"/>
    </i>
    <i t="data" r="0" i="0">
      <x v="2"/>
    </i>
    <i t="data" r="0" i="0">
      <x v="3"/>
    </i>
    <i t="grand" r="0" i="0">
      <x v="0"/>
    </i>
  </rowItems>
  <colFields count="1">
    <field x="-2"/>
  </colFields>
  <colItems count="2">
    <i t="data" r="0" i="0">
      <x v="0"/>
    </i>
    <i t="data" r="0" i="1">
      <x v="1"/>
    </i>
  </colItems>
  <dataFields count="2">
    <dataField name="Total Customers" fld="12" subtotal="count" showDataAs="normal" baseField="8" baseItem="0"/>
    <dataField name="Churn Rate" fld="12" subtotal="average" showDataAs="normal" baseField="8" baseItem="0"/>
  </dataField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PivotTable5" cacheId="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3:D16" firstHeaderRow="1" firstDataRow="2" firstDataCol="1"/>
  <pivotFields count="1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12">
        <item t="data" sd="1" x="3"/>
        <item t="data" sd="1" x="7"/>
        <item t="data" sd="1" x="4"/>
        <item t="data" sd="1" x="1"/>
        <item t="data" sd="1" x="8"/>
        <item t="data" sd="1" x="6"/>
        <item t="data" sd="1" x="2"/>
        <item t="data" sd="1" x="0"/>
        <item t="data" sd="1" x="9"/>
        <item t="data" sd="1" x="10"/>
        <item t="data" sd="1" x="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3">
        <item t="data" sd="1" x="0"/>
        <item t="data" sd="1" x="1"/>
        <item t="default" sd="1"/>
      </items>
    </pivotField>
  </pivotFields>
  <rowFields count="1">
    <field x="6"/>
  </rowFields>
  <rowItems count="12">
    <i t="data" r="0" i="0">
      <x v="0"/>
    </i>
    <i t="data" r="0" i="0">
      <x v="1"/>
    </i>
    <i t="data" r="0" i="0">
      <x v="2"/>
    </i>
    <i t="data" r="0" i="0">
      <x v="3"/>
    </i>
    <i t="data" r="0" i="0">
      <x v="4"/>
    </i>
    <i t="data" r="0" i="0">
      <x v="5"/>
    </i>
    <i t="data" r="0" i="0">
      <x v="6"/>
    </i>
    <i t="data" r="0" i="0">
      <x v="7"/>
    </i>
    <i t="data" r="0" i="0">
      <x v="8"/>
    </i>
    <i t="data" r="0" i="0">
      <x v="9"/>
    </i>
    <i t="data" r="0" i="0">
      <x v="10"/>
    </i>
    <i t="grand" r="0" i="0">
      <x v="0"/>
    </i>
  </rowItems>
  <colFields count="1">
    <field x="12"/>
  </colFields>
  <colItems count="3">
    <i t="data" r="0" i="0">
      <x v="0"/>
    </i>
    <i t="data" r="0" i="0">
      <x v="1"/>
    </i>
    <i t="grand" r="0" i="0">
      <x v="0"/>
    </i>
  </colItems>
  <dataFields count="1">
    <dataField name="Average of CreditScore" fld="2" subtotal="average" showDataAs="normal" baseField="6" baseItem="0"/>
  </dataFields>
  <pivotTableStyleInfo name="PivotStyleLight16" showRowHeaders="1" showColHeaders="1" showRowStripes="0" showColStripes="0" showLastColumn="1"/>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pivotTable" Target="/xl/pivotTables/pivotTable1.xml" Id="rId1"/></Relationships>
</file>

<file path=xl/worksheets/_rels/sheet3.xml.rels><Relationships xmlns="http://schemas.openxmlformats.org/package/2006/relationships"><Relationship Type="http://schemas.openxmlformats.org/officeDocument/2006/relationships/pivotTable" Target="/xl/pivotTables/pivotTable2.xml" Id="rId1"/></Relationships>
</file>

<file path=xl/worksheets/_rels/sheet4.xml.rels><Relationships xmlns="http://schemas.openxmlformats.org/package/2006/relationships"><Relationship Type="http://schemas.openxmlformats.org/officeDocument/2006/relationships/pivotTable" Target="/xl/pivotTables/pivotTable3.xml" Id="rId1"/></Relationships>
</file>

<file path=xl/worksheets/_rels/sheet5.xml.rels><Relationships xmlns="http://schemas.openxmlformats.org/package/2006/relationships"><Relationship Type="http://schemas.openxmlformats.org/officeDocument/2006/relationships/pivotTable" Target="/xl/pivotTables/pivotTable4.xml" Id="rId1"/></Relationships>
</file>

<file path=xl/worksheets/_rels/sheet6.xml.rels><Relationships xmlns="http://schemas.openxmlformats.org/package/2006/relationships"><Relationship Type="http://schemas.openxmlformats.org/officeDocument/2006/relationships/pivotTable" Target="/xl/pivotTables/pivotTable5.xml" Id="rId1"/></Relationships>
</file>

<file path=xl/worksheets/sheet1.xml><?xml version="1.0" encoding="utf-8"?>
<worksheet xmlns="http://schemas.openxmlformats.org/spreadsheetml/2006/main">
  <sheetPr>
    <outlinePr summaryBelow="1" summaryRight="1"/>
    <pageSetUpPr/>
  </sheetPr>
  <dimension ref="A1:F13"/>
  <sheetViews>
    <sheetView showGridLines="0" workbookViewId="0">
      <pane ySplit="2" topLeftCell="A3" activePane="bottomLeft" state="frozen"/>
      <selection pane="bottomLeft" activeCell="A1" sqref="A1"/>
    </sheetView>
  </sheetViews>
  <sheetFormatPr baseColWidth="8" defaultRowHeight="15"/>
  <cols>
    <col width="34" customWidth="1" style="6" min="1" max="1"/>
    <col width="100" customWidth="1" style="6" min="2" max="2"/>
  </cols>
  <sheetData>
    <row r="1" ht="34" customHeight="1" s="6">
      <c r="A1" s="9" t="inlineStr">
        <is>
          <t>BANK CUSTOMER CHURN | ANALYSIS OVERVIEW</t>
        </is>
      </c>
      <c r="B1" s="10" t="n"/>
      <c r="C1" s="10" t="n"/>
      <c r="D1" s="10" t="n"/>
      <c r="E1" s="10" t="n"/>
      <c r="F1" s="10" t="n"/>
    </row>
    <row r="2">
      <c r="A2" s="11" t="inlineStr">
        <is>
          <t>Dataset checks</t>
        </is>
      </c>
      <c r="B2" s="11" t="inlineStr">
        <is>
          <t>Result</t>
        </is>
      </c>
      <c r="C2" s="11" t="n"/>
      <c r="D2" s="11" t="n"/>
      <c r="E2" s="11" t="n"/>
      <c r="F2" s="11" t="n"/>
    </row>
    <row r="3">
      <c r="A3" s="10" t="inlineStr">
        <is>
          <t>Records</t>
        </is>
      </c>
      <c r="B3" s="10" t="n">
        <v>500</v>
      </c>
      <c r="C3" s="10" t="n"/>
      <c r="D3" s="10" t="n"/>
      <c r="E3" s="10" t="n"/>
      <c r="F3" s="10" t="n"/>
    </row>
    <row r="4">
      <c r="A4" s="10" t="inlineStr">
        <is>
          <t>Unique customer IDs</t>
        </is>
      </c>
      <c r="B4" s="10" t="n">
        <v>500</v>
      </c>
      <c r="C4" s="10" t="n"/>
      <c r="D4" s="10" t="n"/>
      <c r="E4" s="10" t="n"/>
      <c r="F4" s="10" t="n"/>
    </row>
    <row r="5">
      <c r="A5" s="10" t="inlineStr">
        <is>
          <t>Missing values in analysis fields</t>
        </is>
      </c>
      <c r="B5" s="10" t="n">
        <v>0</v>
      </c>
      <c r="C5" s="10" t="n"/>
      <c r="D5" s="10" t="n"/>
      <c r="E5" s="10" t="n"/>
      <c r="F5" s="10" t="n"/>
    </row>
    <row r="6">
      <c r="A6" s="10" t="inlineStr">
        <is>
          <t>Overall churn rate</t>
        </is>
      </c>
      <c r="B6" s="12" t="n">
        <v>0.544</v>
      </c>
      <c r="C6" s="10" t="n"/>
      <c r="D6" s="10" t="n"/>
      <c r="E6" s="10" t="n"/>
      <c r="F6" s="10" t="n"/>
    </row>
    <row r="7">
      <c r="A7" s="10" t="inlineStr">
        <is>
          <t>Source note</t>
        </is>
      </c>
      <c r="B7" s="10" t="inlineStr">
        <is>
          <t>Workbook source/provenance is not documented; confirm dataset license before sharing.</t>
        </is>
      </c>
      <c r="C7" s="10" t="n"/>
      <c r="D7" s="10" t="n"/>
      <c r="E7" s="10" t="n"/>
      <c r="F7" s="10" t="n"/>
    </row>
    <row r="8">
      <c r="A8" s="10" t="n"/>
      <c r="B8" s="10" t="n"/>
      <c r="C8" s="10" t="n"/>
      <c r="D8" s="10" t="n"/>
      <c r="E8" s="10" t="n"/>
      <c r="F8" s="10" t="n"/>
    </row>
    <row r="9">
      <c r="A9" s="11" t="inlineStr">
        <is>
          <t>Finding</t>
        </is>
      </c>
      <c r="B9" s="11" t="inlineStr">
        <is>
          <t>Interpretation</t>
        </is>
      </c>
      <c r="C9" s="11" t="n"/>
      <c r="D9" s="11" t="n"/>
      <c r="E9" s="11" t="n"/>
      <c r="F9" s="11" t="n"/>
    </row>
    <row r="10">
      <c r="A10" s="10" t="inlineStr">
        <is>
          <t>Credit score by geography</t>
        </is>
      </c>
      <c r="B10" s="10" t="inlineStr">
        <is>
          <t>Spain has the highest mean in this 500-row sample; the one-way ANOVA result is on RQ2.</t>
        </is>
      </c>
      <c r="C10" s="10" t="n"/>
      <c r="D10" s="10" t="n"/>
      <c r="E10" s="10" t="n"/>
      <c r="F10" s="10" t="n"/>
    </row>
    <row r="11">
      <c r="A11" s="10" t="inlineStr">
        <is>
          <t>Salary by churn group</t>
        </is>
      </c>
      <c r="B11" s="10" t="inlineStr">
        <is>
          <t>RQ1 reports no statistically significant difference (two-sided p = 0.4214).</t>
        </is>
      </c>
      <c r="C11" s="10" t="n"/>
      <c r="D11" s="10" t="n"/>
      <c r="E11" s="10" t="n"/>
      <c r="F11" s="10" t="n"/>
    </row>
    <row r="12">
      <c r="A12" s="10" t="inlineStr">
        <is>
          <t>Churn by product count</t>
        </is>
      </c>
      <c r="B12" s="10" t="inlineStr">
        <is>
          <t>Rates are about 52.5%–55.2% in this sample. This unusually high rate should be checked against the original dataset source before generalizing.</t>
        </is>
      </c>
      <c r="C12" s="10" t="n"/>
      <c r="D12" s="10" t="n"/>
      <c r="E12" s="10" t="n"/>
      <c r="F12" s="10" t="n"/>
    </row>
    <row r="13">
      <c r="A13" s="10" t="inlineStr">
        <is>
          <t>Scope</t>
        </is>
      </c>
      <c r="B13" s="10" t="inlineStr">
        <is>
          <t>Descriptive sample analysis only. These results do not establish causal effects or predict customer behavior outside this dataset.</t>
        </is>
      </c>
      <c r="C13" s="10" t="n"/>
      <c r="D13" s="10" t="n"/>
      <c r="E13" s="10" t="n"/>
      <c r="F13" s="10" t="n"/>
    </row>
  </sheetData>
  <autoFilter ref="A2:B6"/>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3:B9"/>
  <sheetViews>
    <sheetView workbookViewId="0">
      <selection activeCell="E13" sqref="E13"/>
    </sheetView>
  </sheetViews>
  <sheetFormatPr baseColWidth="8" defaultRowHeight="14.5"/>
  <cols>
    <col width="12.36328125" bestFit="1" customWidth="1" style="6" min="1" max="1"/>
    <col width="20" customWidth="1" style="6" min="2" max="2"/>
  </cols>
  <sheetData>
    <row r="3">
      <c r="A3" s="2" t="inlineStr">
        <is>
          <t>Row Labels</t>
        </is>
      </c>
      <c r="B3" t="inlineStr">
        <is>
          <t>Average of CreditScore</t>
        </is>
      </c>
    </row>
    <row r="4">
      <c r="A4" s="3" t="inlineStr">
        <is>
          <t>France</t>
        </is>
      </c>
      <c r="B4" t="n">
        <v>592.5497076023391</v>
      </c>
    </row>
    <row r="5">
      <c r="A5" s="3" t="inlineStr">
        <is>
          <t>Germany</t>
        </is>
      </c>
      <c r="B5" t="n">
        <v>579.6942675159236</v>
      </c>
    </row>
    <row r="6">
      <c r="A6" s="3" t="inlineStr">
        <is>
          <t>Spain</t>
        </is>
      </c>
      <c r="B6" t="n">
        <v>600.9883720930233</v>
      </c>
    </row>
    <row r="7">
      <c r="A7" s="3" t="inlineStr">
        <is>
          <t>Grand Total</t>
        </is>
      </c>
      <c r="B7" t="n">
        <v>591.4160000000001</v>
      </c>
    </row>
    <row r="9">
      <c r="A9" s="4" t="inlineStr">
        <is>
          <t>FINDING:</t>
        </is>
      </c>
      <c r="B9" t="inlineStr">
        <is>
          <t>Spain has the highest average credit score (600.99), followed by France (592.55) and Germany (579.69).</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3:D10"/>
  <sheetViews>
    <sheetView workbookViewId="0">
      <selection activeCell="H14" sqref="H14"/>
    </sheetView>
  </sheetViews>
  <sheetFormatPr baseColWidth="8" defaultRowHeight="14.5"/>
  <cols>
    <col width="16.7265625" bestFit="1" customWidth="1" style="6" min="1" max="1"/>
    <col width="15.26953125" bestFit="1" customWidth="1" style="6" min="2" max="2"/>
    <col width="11.81640625" bestFit="1" customWidth="1" style="6" min="3" max="4"/>
  </cols>
  <sheetData>
    <row r="3">
      <c r="A3" s="2" t="inlineStr">
        <is>
          <t>Average of Balance</t>
        </is>
      </c>
      <c r="B3" s="2" t="inlineStr">
        <is>
          <t>Column Labels</t>
        </is>
      </c>
    </row>
    <row r="4">
      <c r="A4" s="2" t="inlineStr">
        <is>
          <t>Row Labels</t>
        </is>
      </c>
      <c r="B4" t="inlineStr">
        <is>
          <t>Female</t>
        </is>
      </c>
      <c r="C4" t="inlineStr">
        <is>
          <t>Male</t>
        </is>
      </c>
      <c r="D4" t="inlineStr">
        <is>
          <t>Grand Total</t>
        </is>
      </c>
    </row>
    <row r="5">
      <c r="A5" s="3" t="inlineStr">
        <is>
          <t>France</t>
        </is>
      </c>
      <c r="B5" t="n">
        <v>129576.9885416667</v>
      </c>
      <c r="C5" t="n">
        <v>133204.7601333333</v>
      </c>
      <c r="D5" t="n">
        <v>131168.1164327485</v>
      </c>
    </row>
    <row r="6">
      <c r="A6" s="3" t="inlineStr">
        <is>
          <t>Germany</t>
        </is>
      </c>
      <c r="B6" t="n">
        <v>140888.2783098592</v>
      </c>
      <c r="C6" t="n">
        <v>128591.0246511628</v>
      </c>
      <c r="D6" t="n">
        <v>134152.2030573249</v>
      </c>
    </row>
    <row r="7">
      <c r="A7" s="3" t="inlineStr">
        <is>
          <t>Spain</t>
        </is>
      </c>
      <c r="B7" t="n">
        <v>120986.2374725274</v>
      </c>
      <c r="C7" t="n">
        <v>119667.1802469136</v>
      </c>
      <c r="D7" t="n">
        <v>120365.0535465115</v>
      </c>
    </row>
    <row r="8">
      <c r="A8" s="3" t="inlineStr">
        <is>
          <t>Grand Total</t>
        </is>
      </c>
      <c r="B8" t="n">
        <v>129659.7142248062</v>
      </c>
      <c r="C8" t="n">
        <v>127033.9947520661</v>
      </c>
      <c r="D8" t="n">
        <v>128388.866</v>
      </c>
    </row>
    <row r="10">
      <c r="A10" s="4" t="inlineStr">
        <is>
          <t>FINDING:</t>
        </is>
      </c>
      <c r="B10" t="inlineStr">
        <is>
          <t>Male customers in France hold higher average balances than females, while in Germany the reverse is true — females hold significantly higher balances. Spain shows the lowest balances overall for both genders, with males and females being very close.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3:D9"/>
  <sheetViews>
    <sheetView workbookViewId="0">
      <selection activeCell="A9" sqref="A9"/>
    </sheetView>
  </sheetViews>
  <sheetFormatPr baseColWidth="8" defaultRowHeight="14.5"/>
  <cols>
    <col width="18.7265625" bestFit="1" customWidth="1" style="6" min="1" max="1"/>
    <col width="15.26953125" bestFit="1" customWidth="1" style="6" min="2" max="2"/>
    <col width="3.81640625" bestFit="1" customWidth="1" style="6" min="3" max="3"/>
    <col width="10.7265625" bestFit="1" customWidth="1" style="6" min="4" max="4"/>
  </cols>
  <sheetData>
    <row r="3">
      <c r="A3" s="2" t="inlineStr">
        <is>
          <t>Count of CustomerID</t>
        </is>
      </c>
      <c r="B3" s="2" t="inlineStr">
        <is>
          <t>Column Labels</t>
        </is>
      </c>
    </row>
    <row r="4">
      <c r="A4" s="2" t="inlineStr">
        <is>
          <t>Row Labels</t>
        </is>
      </c>
      <c r="B4" t="n">
        <v>0</v>
      </c>
      <c r="C4" t="n">
        <v>1</v>
      </c>
      <c r="D4" t="inlineStr">
        <is>
          <t>Grand Total</t>
        </is>
      </c>
    </row>
    <row r="5">
      <c r="A5" s="3" t="n">
        <v>0</v>
      </c>
      <c r="B5" t="n">
        <v>140</v>
      </c>
      <c r="C5" t="n">
        <v>113</v>
      </c>
      <c r="D5" t="n">
        <v>253</v>
      </c>
    </row>
    <row r="6">
      <c r="A6" s="3" t="n">
        <v>1</v>
      </c>
      <c r="B6" t="n">
        <v>123</v>
      </c>
      <c r="C6" t="n">
        <v>124</v>
      </c>
      <c r="D6" t="n">
        <v>247</v>
      </c>
    </row>
    <row r="7">
      <c r="A7" s="3" t="inlineStr">
        <is>
          <t>Grand Total</t>
        </is>
      </c>
      <c r="B7" t="n">
        <v>263</v>
      </c>
      <c r="C7" t="n">
        <v>237</v>
      </c>
      <c r="D7" t="n">
        <v>500</v>
      </c>
    </row>
    <row r="8">
      <c r="A8" s="4" t="inlineStr">
        <is>
          <t>FINDING</t>
        </is>
      </c>
    </row>
    <row r="9">
      <c r="A9" t="inlineStr">
        <is>
          <t>Customers without a credit card are more likely to be non-active members (140 vs 113). Customers with a credit card are more evenly split between active and non-active (124 vs 123). This suggests that having a credit card has little influence on whether a customer remains active.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3:C11"/>
  <sheetViews>
    <sheetView workbookViewId="0">
      <selection activeCell="C11" sqref="C11"/>
    </sheetView>
  </sheetViews>
  <sheetFormatPr baseColWidth="8" defaultRowHeight="14.5"/>
  <cols>
    <col width="12.36328125" bestFit="1" customWidth="1" style="6" min="1" max="1"/>
    <col width="14.6328125" bestFit="1" customWidth="1" style="6" min="2" max="2"/>
    <col width="11.81640625" bestFit="1" customWidth="1" style="6" min="3" max="3"/>
  </cols>
  <sheetData>
    <row r="3">
      <c r="A3" s="2" t="inlineStr">
        <is>
          <t>Row Labels</t>
        </is>
      </c>
      <c r="B3" t="inlineStr">
        <is>
          <t>Total Customers</t>
        </is>
      </c>
      <c r="C3" t="inlineStr">
        <is>
          <t>Churn Rate</t>
        </is>
      </c>
    </row>
    <row r="4">
      <c r="A4" s="3" t="n">
        <v>1</v>
      </c>
      <c r="B4" t="n">
        <v>125</v>
      </c>
      <c r="C4" t="n">
        <v>0.552</v>
      </c>
    </row>
    <row r="5">
      <c r="A5" s="3" t="n">
        <v>2</v>
      </c>
      <c r="B5" t="n">
        <v>135</v>
      </c>
      <c r="C5" t="n">
        <v>0.5481481481481482</v>
      </c>
    </row>
    <row r="6">
      <c r="A6" s="3" t="n">
        <v>3</v>
      </c>
      <c r="B6" t="n">
        <v>118</v>
      </c>
      <c r="C6" t="n">
        <v>0.5508474576271186</v>
      </c>
    </row>
    <row r="7">
      <c r="A7" s="3" t="n">
        <v>4</v>
      </c>
      <c r="B7" t="n">
        <v>122</v>
      </c>
      <c r="C7" t="n">
        <v>0.5245901639344263</v>
      </c>
    </row>
    <row r="8">
      <c r="A8" s="3" t="inlineStr">
        <is>
          <t>Grand Total</t>
        </is>
      </c>
      <c r="B8" t="n">
        <v>500</v>
      </c>
      <c r="C8" t="n">
        <v>0.544</v>
      </c>
    </row>
    <row r="10">
      <c r="A10" s="4" t="inlineStr">
        <is>
          <t>FINDINGS:</t>
        </is>
      </c>
    </row>
    <row r="11">
      <c r="A11" t="inlineStr">
        <is>
          <t>Churn rate is consistently high across all product groups, ranging from 52.5% to 55.2%. Customers using 4 products have the slightly lowest churn rate. There is no strong relationship between number of products used and likelihood of churning.</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3:D18"/>
  <sheetViews>
    <sheetView workbookViewId="0">
      <selection activeCell="F14" sqref="F14"/>
    </sheetView>
  </sheetViews>
  <sheetFormatPr baseColWidth="8" defaultRowHeight="14.5"/>
  <cols>
    <col width="20" bestFit="1" customWidth="1" style="6" min="1" max="1"/>
    <col width="15.26953125" bestFit="1" customWidth="1" style="6" min="2" max="2"/>
    <col width="11.81640625" bestFit="1" customWidth="1" style="6" min="3" max="4"/>
  </cols>
  <sheetData>
    <row r="3">
      <c r="A3" s="2" t="inlineStr">
        <is>
          <t>Average of CreditScore</t>
        </is>
      </c>
      <c r="B3" s="2" t="inlineStr">
        <is>
          <t>Column Labels</t>
        </is>
      </c>
    </row>
    <row r="4">
      <c r="A4" s="2" t="inlineStr">
        <is>
          <t>Row Labels</t>
        </is>
      </c>
      <c r="B4" t="n">
        <v>0</v>
      </c>
      <c r="C4" t="n">
        <v>1</v>
      </c>
      <c r="D4" t="inlineStr">
        <is>
          <t>Grand Total</t>
        </is>
      </c>
    </row>
    <row r="5">
      <c r="A5" s="3" t="n">
        <v>0</v>
      </c>
      <c r="B5" t="n">
        <v>615.3076923076923</v>
      </c>
      <c r="C5" t="n">
        <v>589.1764705882352</v>
      </c>
      <c r="D5" t="n">
        <v>604.9767441860465</v>
      </c>
    </row>
    <row r="6">
      <c r="A6" s="3" t="n">
        <v>1</v>
      </c>
      <c r="B6" t="n">
        <v>591</v>
      </c>
      <c r="C6" t="n">
        <v>616.8333333333334</v>
      </c>
      <c r="D6" t="n">
        <v>605.0909090909091</v>
      </c>
    </row>
    <row r="7">
      <c r="A7" s="3" t="n">
        <v>2</v>
      </c>
      <c r="B7" t="n">
        <v>618.5909090909091</v>
      </c>
      <c r="C7" t="n">
        <v>568.88</v>
      </c>
      <c r="D7" t="n">
        <v>592.1489361702128</v>
      </c>
    </row>
    <row r="8">
      <c r="A8" s="3" t="n">
        <v>3</v>
      </c>
      <c r="B8" t="n">
        <v>541.625</v>
      </c>
      <c r="C8" t="n">
        <v>637.6666666666666</v>
      </c>
      <c r="D8" t="n">
        <v>599.25</v>
      </c>
    </row>
    <row r="9">
      <c r="A9" s="3" t="n">
        <v>4</v>
      </c>
      <c r="B9" t="n">
        <v>599.5833333333334</v>
      </c>
      <c r="C9" t="n">
        <v>617.6666666666666</v>
      </c>
      <c r="D9" t="n">
        <v>608.0222222222222</v>
      </c>
    </row>
    <row r="10">
      <c r="A10" s="3" t="n">
        <v>5</v>
      </c>
      <c r="B10" t="n">
        <v>625.2</v>
      </c>
      <c r="C10" t="n">
        <v>605.25</v>
      </c>
      <c r="D10" t="n">
        <v>614.3181818181819</v>
      </c>
    </row>
    <row r="11">
      <c r="A11" s="3" t="n">
        <v>6</v>
      </c>
      <c r="B11" t="n">
        <v>540.2631578947369</v>
      </c>
      <c r="C11" t="n">
        <v>572.5357142857143</v>
      </c>
      <c r="D11" t="n">
        <v>559.4893617021277</v>
      </c>
    </row>
    <row r="12">
      <c r="A12" s="3" t="n">
        <v>7</v>
      </c>
      <c r="B12" t="n">
        <v>595.7647058823529</v>
      </c>
      <c r="C12" t="n">
        <v>567.2692307692307</v>
      </c>
      <c r="D12" t="n">
        <v>578.5348837209302</v>
      </c>
    </row>
    <row r="13">
      <c r="A13" s="3" t="n">
        <v>8</v>
      </c>
      <c r="B13" t="n">
        <v>590.8</v>
      </c>
      <c r="C13" t="n">
        <v>598.9583333333334</v>
      </c>
      <c r="D13" t="n">
        <v>595.8205128205128</v>
      </c>
    </row>
    <row r="14">
      <c r="A14" s="3" t="n">
        <v>9</v>
      </c>
      <c r="B14" t="n">
        <v>562.55</v>
      </c>
      <c r="C14" t="n">
        <v>556.6060606060606</v>
      </c>
      <c r="D14" t="n">
        <v>558.8490566037735</v>
      </c>
    </row>
    <row r="15">
      <c r="A15" s="3" t="n">
        <v>10</v>
      </c>
      <c r="B15" t="n">
        <v>632.8275862068965</v>
      </c>
      <c r="C15" t="n">
        <v>557.5769230769231</v>
      </c>
      <c r="D15" t="n">
        <v>597.2545454545455</v>
      </c>
    </row>
    <row r="16">
      <c r="A16" s="3" t="inlineStr">
        <is>
          <t>Grand Total</t>
        </is>
      </c>
      <c r="B16" t="n">
        <v>595.8114035087719</v>
      </c>
      <c r="C16" t="n">
        <v>587.7316176470588</v>
      </c>
      <c r="D16" t="n">
        <v>591.4160000000001</v>
      </c>
    </row>
    <row r="17">
      <c r="A17" s="4" t="inlineStr">
        <is>
          <t>FINDINGS:</t>
        </is>
      </c>
    </row>
    <row r="18">
      <c r="A18" s="5" t="inlineStr">
        <is>
          <t>There is no consistent pattern between credit score and churn across tenure groups. In some tenure years churned customers have higher credit scores than those who stayed, and in others the reverse is true. This suggests credit score alone does not reliably predict churn at any tenure level.</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17"/>
  <sheetViews>
    <sheetView workbookViewId="0">
      <selection activeCell="A17" sqref="A17"/>
    </sheetView>
  </sheetViews>
  <sheetFormatPr baseColWidth="8" defaultRowHeight="14.5"/>
  <cols>
    <col width="32.26953125" customWidth="1" style="6" min="1" max="1"/>
    <col width="20.1796875" customWidth="1" style="6" min="2" max="2"/>
    <col width="14" customWidth="1" style="6" min="3" max="3"/>
  </cols>
  <sheetData>
    <row r="1">
      <c r="A1" t="inlineStr">
        <is>
          <t>t-Test: Two-Sample Assuming Equal Variances</t>
        </is>
      </c>
    </row>
    <row r="2" ht="15" customHeight="1" s="6" thickBot="1"/>
    <row r="3">
      <c r="A3" s="8" t="n"/>
      <c r="B3" s="8" t="inlineStr">
        <is>
          <t>Variable 1</t>
        </is>
      </c>
      <c r="C3" s="8" t="inlineStr">
        <is>
          <t>Variable 2</t>
        </is>
      </c>
    </row>
    <row r="4">
      <c r="A4" t="inlineStr">
        <is>
          <t>Mean</t>
        </is>
      </c>
      <c r="B4" t="n">
        <v>83428.091875</v>
      </c>
      <c r="C4" t="n">
        <v>80464.52017543856</v>
      </c>
    </row>
    <row r="5">
      <c r="A5" t="inlineStr">
        <is>
          <t>Variance</t>
        </is>
      </c>
      <c r="B5" t="n">
        <v>1718690175.498164</v>
      </c>
      <c r="C5" t="n">
        <v>1639699948.536836</v>
      </c>
    </row>
    <row r="6">
      <c r="A6" t="inlineStr">
        <is>
          <t>Observations</t>
        </is>
      </c>
      <c r="B6" t="n">
        <v>272</v>
      </c>
      <c r="C6" t="n">
        <v>228</v>
      </c>
    </row>
    <row r="7">
      <c r="A7" t="inlineStr">
        <is>
          <t>Pooled Variance</t>
        </is>
      </c>
      <c r="B7" t="n">
        <v>1682684590.116193</v>
      </c>
    </row>
    <row r="8">
      <c r="A8" t="inlineStr">
        <is>
          <t>Hypothesized Mean Difference</t>
        </is>
      </c>
      <c r="B8" t="n">
        <v>0</v>
      </c>
    </row>
    <row r="9">
      <c r="A9" t="inlineStr">
        <is>
          <t>df</t>
        </is>
      </c>
      <c r="B9" t="n">
        <v>498</v>
      </c>
    </row>
    <row r="10">
      <c r="A10" t="inlineStr">
        <is>
          <t>t Stat</t>
        </is>
      </c>
      <c r="B10" t="n">
        <v>0.8046017141185857</v>
      </c>
    </row>
    <row r="11">
      <c r="A11" t="inlineStr">
        <is>
          <t>P(T&lt;=t) one-tail</t>
        </is>
      </c>
      <c r="B11" t="n">
        <v>0.2107167467816172</v>
      </c>
    </row>
    <row r="12">
      <c r="A12" t="inlineStr">
        <is>
          <t>t Critical one-tail</t>
        </is>
      </c>
      <c r="B12" t="n">
        <v>1.647919138855013</v>
      </c>
    </row>
    <row r="13">
      <c r="A13" t="inlineStr">
        <is>
          <t>P(T&lt;=t) two-tail</t>
        </is>
      </c>
      <c r="B13" t="n">
        <v>0.4214334935632345</v>
      </c>
    </row>
    <row r="14" ht="15" customHeight="1" s="6" thickBot="1">
      <c r="A14" s="7" t="inlineStr">
        <is>
          <t>t Critical two-tail</t>
        </is>
      </c>
      <c r="B14" s="7" t="n">
        <v>1.96473898296729</v>
      </c>
      <c r="C14" s="7" t="n"/>
    </row>
    <row r="16">
      <c r="A16" s="4" t="inlineStr">
        <is>
          <t>FINDINGS:</t>
        </is>
      </c>
    </row>
    <row r="17">
      <c r="A17" t="inlineStr">
        <is>
          <t>The t-test result shows a p-value of 0.4214, which is greater than the significance level of 0.05. Therefore, we fail to reject the null hypothesis. There is no significant difference in average estimated salary between churned customers (avg: 83,428.09) and non-churned customers (avg: 80,464.52).</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19"/>
  <sheetViews>
    <sheetView showGridLines="0" workbookViewId="0">
      <pane ySplit="5" topLeftCell="A6" activePane="bottomLeft" state="frozen"/>
      <selection pane="bottomLeft" activeCell="A1" sqref="A1"/>
    </sheetView>
  </sheetViews>
  <sheetFormatPr baseColWidth="8" defaultRowHeight="14.5"/>
  <cols>
    <col width="28" customWidth="1" style="6" min="1" max="1"/>
    <col width="36" customWidth="1" style="6" min="2" max="2"/>
    <col width="20" customWidth="1" style="6" min="3" max="3"/>
    <col width="18" customWidth="1" style="6" min="4" max="4"/>
    <col width="16" customWidth="1" style="6" min="5" max="5"/>
    <col width="16" customWidth="1" style="6" min="6" max="6"/>
  </cols>
  <sheetData>
    <row r="1" ht="30" customHeight="1" s="6">
      <c r="A1" s="13" t="inlineStr">
        <is>
          <t>RQ2 | One-way ANOVA: mean credit score by geography</t>
        </is>
      </c>
      <c r="B1" s="10" t="n"/>
      <c r="C1" s="10" t="n"/>
      <c r="D1" s="10" t="n"/>
      <c r="E1" s="10" t="n"/>
      <c r="F1" s="10" t="n"/>
    </row>
    <row r="2">
      <c r="A2" s="10" t="n"/>
      <c r="B2" s="10" t="n"/>
      <c r="C2" s="10" t="n"/>
      <c r="D2" s="10" t="n"/>
      <c r="E2" s="10" t="n"/>
      <c r="F2" s="10" t="n"/>
    </row>
    <row r="3">
      <c r="A3" s="11" t="inlineStr">
        <is>
          <t>Question</t>
        </is>
      </c>
      <c r="B3" s="11" t="inlineStr">
        <is>
          <t>Does mean credit score differ across France, Germany, and Spain in this sample?</t>
        </is>
      </c>
      <c r="C3" s="11" t="n"/>
      <c r="D3" s="11" t="n"/>
      <c r="E3" s="11" t="n"/>
      <c r="F3" s="11" t="n"/>
    </row>
    <row r="4">
      <c r="A4" s="11" t="inlineStr">
        <is>
          <t>Method</t>
        </is>
      </c>
      <c r="B4" s="11" t="inlineStr">
        <is>
          <t>One-way ANOVA, independent groups, alpha = 0.05. H0: all three population means are equal.</t>
        </is>
      </c>
      <c r="C4" s="11" t="n"/>
      <c r="D4" s="11" t="n"/>
      <c r="E4" s="11" t="n"/>
      <c r="F4" s="11" t="n"/>
    </row>
    <row r="5">
      <c r="A5" s="10" t="n"/>
      <c r="B5" s="10" t="n"/>
      <c r="C5" s="10" t="n"/>
      <c r="D5" s="10" t="n"/>
      <c r="E5" s="10" t="n"/>
      <c r="F5" s="10" t="n"/>
    </row>
    <row r="6">
      <c r="A6" s="10" t="inlineStr">
        <is>
          <t>Group</t>
        </is>
      </c>
      <c r="B6" s="10" t="inlineStr">
        <is>
          <t>N</t>
        </is>
      </c>
      <c r="C6" s="10" t="inlineStr">
        <is>
          <t>Mean credit score</t>
        </is>
      </c>
      <c r="D6" s="10" t="inlineStr">
        <is>
          <t>Std. deviation</t>
        </is>
      </c>
      <c r="E6" s="10" t="n"/>
      <c r="F6" s="10" t="n"/>
    </row>
    <row r="7">
      <c r="A7" s="11" t="inlineStr">
        <is>
          <t>France</t>
        </is>
      </c>
      <c r="B7" s="11" t="n">
        <v>171</v>
      </c>
      <c r="C7" s="11" t="n">
        <v>592.5497076023391</v>
      </c>
      <c r="D7" s="11" t="n">
        <v>139.5547189221612</v>
      </c>
      <c r="E7" s="11" t="n"/>
      <c r="F7" s="11" t="n"/>
    </row>
    <row r="8">
      <c r="A8" s="10" t="inlineStr">
        <is>
          <t>Germany</t>
        </is>
      </c>
      <c r="B8" s="10" t="n">
        <v>157</v>
      </c>
      <c r="C8" s="14" t="n">
        <v>579.6942675159236</v>
      </c>
      <c r="D8" s="14" t="n">
        <v>135.6805572688074</v>
      </c>
      <c r="E8" s="14" t="n"/>
      <c r="F8" s="14" t="n"/>
    </row>
    <row r="9">
      <c r="A9" s="10" t="inlineStr">
        <is>
          <t>Spain</t>
        </is>
      </c>
      <c r="B9" s="10" t="n">
        <v>172</v>
      </c>
      <c r="C9" s="14" t="n">
        <v>600.9883720930233</v>
      </c>
      <c r="D9" s="14" t="n">
        <v>137.7639725933556</v>
      </c>
      <c r="E9" s="14" t="n"/>
      <c r="F9" s="14" t="n"/>
    </row>
    <row r="10">
      <c r="A10" s="10" t="inlineStr">
        <is>
          <t>All records</t>
        </is>
      </c>
      <c r="B10" s="10" t="n">
        <v>500</v>
      </c>
      <c r="C10" s="14" t="n">
        <v>591.4160000000001</v>
      </c>
      <c r="D10" s="14" t="n"/>
      <c r="E10" s="14" t="n"/>
      <c r="F10" s="14" t="n"/>
    </row>
    <row r="11">
      <c r="A11" s="10" t="n"/>
      <c r="B11" s="10" t="n"/>
      <c r="C11" s="14" t="n"/>
      <c r="D11" s="14" t="n"/>
      <c r="E11" s="14" t="n"/>
      <c r="F11" s="14" t="n"/>
    </row>
    <row r="12">
      <c r="A12" s="11" t="inlineStr">
        <is>
          <t>ANOVA component</t>
        </is>
      </c>
      <c r="B12" s="11" t="inlineStr">
        <is>
          <t>Sum of squares</t>
        </is>
      </c>
      <c r="C12" s="11" t="inlineStr">
        <is>
          <t>df</t>
        </is>
      </c>
      <c r="D12" s="11" t="inlineStr">
        <is>
          <t>Mean square</t>
        </is>
      </c>
      <c r="E12" s="11" t="inlineStr">
        <is>
          <t>F</t>
        </is>
      </c>
      <c r="F12" s="11" t="inlineStr">
        <is>
          <t>p-value</t>
        </is>
      </c>
    </row>
    <row r="13">
      <c r="A13" s="10" t="inlineStr">
        <is>
          <t>Between groups</t>
        </is>
      </c>
      <c r="B13" s="10" t="n">
        <v>37551.84292966949</v>
      </c>
      <c r="C13" s="10" t="n">
        <v>2</v>
      </c>
      <c r="D13" s="10" t="n">
        <v>18775.92146483474</v>
      </c>
      <c r="E13" s="10" t="n">
        <v>0.9897713249008989</v>
      </c>
      <c r="F13" s="10" t="n">
        <v>0.3723930404976799</v>
      </c>
    </row>
    <row r="14">
      <c r="A14" s="10" t="inlineStr">
        <is>
          <t>Within groups</t>
        </is>
      </c>
      <c r="B14" s="10" t="n">
        <v>9428069.62907033</v>
      </c>
      <c r="C14" s="10" t="n">
        <v>497</v>
      </c>
      <c r="D14" s="10" t="n">
        <v>18969.95901221395</v>
      </c>
      <c r="E14" s="10" t="n"/>
      <c r="F14" s="10" t="n"/>
    </row>
    <row r="15">
      <c r="A15" s="10" t="inlineStr">
        <is>
          <t>Total</t>
        </is>
      </c>
      <c r="B15" s="10" t="n">
        <v>9465621.471999999</v>
      </c>
      <c r="C15" s="10" t="n">
        <v>499</v>
      </c>
      <c r="D15" s="10" t="n"/>
      <c r="E15" s="10" t="n"/>
      <c r="F15" s="10" t="n"/>
    </row>
    <row r="16" ht="34" customHeight="1" s="6">
      <c r="A16" s="10" t="n"/>
      <c r="B16" s="10" t="n"/>
      <c r="C16" s="10" t="n"/>
      <c r="D16" s="10" t="n"/>
      <c r="E16" s="10" t="n"/>
      <c r="F16" s="10" t="n"/>
    </row>
    <row r="17" ht="34" customHeight="1" s="6">
      <c r="A17" s="10" t="inlineStr">
        <is>
          <t>Conclusion</t>
        </is>
      </c>
      <c r="B17" s="10" t="inlineStr">
        <is>
          <t>Do not reject H0; evidence is insufficient to conclude that the geography means differ.</t>
        </is>
      </c>
      <c r="C17" s="10" t="n"/>
      <c r="D17" s="10" t="n"/>
      <c r="E17" s="10" t="n"/>
      <c r="F17" s="10" t="n"/>
    </row>
    <row r="18" ht="34" customHeight="1" s="6">
      <c r="A18" s="10" t="inlineStr">
        <is>
          <t>Interpretation limit</t>
        </is>
      </c>
      <c r="B18" s="10" t="inlineStr">
        <is>
          <t>ANOVA does not identify which pairs differ. Use a prespecified post-hoc test with multiple-comparison correction before making pairwise claims.</t>
        </is>
      </c>
      <c r="C18" s="10" t="n"/>
      <c r="D18" s="10" t="n"/>
      <c r="E18" s="10" t="n"/>
      <c r="F18" s="10" t="n"/>
    </row>
    <row r="19">
      <c r="A19" s="10" t="inlineStr">
        <is>
          <t>Provenance caveat</t>
        </is>
      </c>
      <c r="B19" s="10" t="inlineStr">
        <is>
          <t>The workbook does not identify the dataset source. Verify sample construction and licensing before publication.</t>
        </is>
      </c>
      <c r="C19" s="10" t="n"/>
      <c r="D19" s="10" t="n"/>
      <c r="E19" s="10" t="n"/>
      <c r="F19" s="10" t="n"/>
    </row>
  </sheetData>
  <mergeCells count="1">
    <mergeCell ref="A1:F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W501"/>
  <sheetViews>
    <sheetView tabSelected="1" topLeftCell="Q1" workbookViewId="0">
      <selection activeCell="U1" sqref="U1"/>
    </sheetView>
  </sheetViews>
  <sheetFormatPr baseColWidth="8" defaultColWidth="8.81640625" defaultRowHeight="14.5"/>
  <cols>
    <col width="10.36328125" bestFit="1" customWidth="1" style="6" min="1" max="1"/>
    <col width="8" bestFit="1" customWidth="1" style="6" min="2" max="2"/>
    <col width="10.36328125" bestFit="1" customWidth="1" style="6" min="3" max="3"/>
    <col width="9.453125" bestFit="1" customWidth="1" style="6" min="4" max="4"/>
    <col width="7" bestFit="1" customWidth="1" style="6" min="5" max="5"/>
    <col width="4.1796875" bestFit="1" customWidth="1" style="6" min="6" max="6"/>
    <col width="6.6328125" bestFit="1" customWidth="1" style="6" min="7" max="7"/>
    <col width="10.1796875" bestFit="1" customWidth="1" style="6" min="8" max="8"/>
    <col width="13.36328125" bestFit="1" customWidth="1" style="6" min="9" max="9"/>
    <col width="9" bestFit="1" customWidth="1" style="6" min="10" max="10"/>
    <col width="14.1796875" bestFit="1" customWidth="1" style="6" min="11" max="11"/>
    <col width="13.36328125" bestFit="1" customWidth="1" style="6" min="12" max="12"/>
    <col width="6" bestFit="1" customWidth="1" style="6" min="13" max="13"/>
    <col width="13.54296875" bestFit="1" customWidth="1" style="6" min="15" max="15"/>
    <col width="8.81640625" customWidth="1" style="6" min="16" max="16"/>
  </cols>
  <sheetData>
    <row r="1">
      <c r="A1" s="1" t="inlineStr">
        <is>
          <t>CustomerID</t>
        </is>
      </c>
      <c r="B1" s="1" t="inlineStr">
        <is>
          <t>Surname</t>
        </is>
      </c>
      <c r="C1" s="1" t="inlineStr">
        <is>
          <t>CreditScore</t>
        </is>
      </c>
      <c r="D1" s="1" t="inlineStr">
        <is>
          <t>Geography</t>
        </is>
      </c>
      <c r="E1" s="1" t="inlineStr">
        <is>
          <t>Gender</t>
        </is>
      </c>
      <c r="F1" s="1" t="inlineStr">
        <is>
          <t>Age</t>
        </is>
      </c>
      <c r="G1" s="1" t="inlineStr">
        <is>
          <t>Tenure</t>
        </is>
      </c>
      <c r="H1" s="1" t="inlineStr">
        <is>
          <t>Balance</t>
        </is>
      </c>
      <c r="I1" s="1" t="inlineStr">
        <is>
          <t>NumOfProducts</t>
        </is>
      </c>
      <c r="J1" s="1" t="inlineStr">
        <is>
          <t>HasCrCard</t>
        </is>
      </c>
      <c r="K1" s="1" t="inlineStr">
        <is>
          <t>IsActiveMember</t>
        </is>
      </c>
      <c r="L1" s="1" t="inlineStr">
        <is>
          <t>EstimatedSalary</t>
        </is>
      </c>
      <c r="M1" s="1" t="inlineStr">
        <is>
          <t>Churn</t>
        </is>
      </c>
      <c r="O1" s="4" t="inlineStr">
        <is>
          <t>Churned Salary</t>
        </is>
      </c>
      <c r="P1" s="4" t="inlineStr">
        <is>
          <t>Stayed Salary</t>
        </is>
      </c>
      <c r="U1" t="inlineStr">
        <is>
          <t>France</t>
        </is>
      </c>
      <c r="V1" t="inlineStr">
        <is>
          <t>Germany</t>
        </is>
      </c>
      <c r="W1" t="inlineStr">
        <is>
          <t>Spain</t>
        </is>
      </c>
    </row>
    <row r="2">
      <c r="A2" t="n">
        <v>1</v>
      </c>
      <c r="B2" t="inlineStr">
        <is>
          <t>Davis</t>
        </is>
      </c>
      <c r="C2" t="n">
        <v>764</v>
      </c>
      <c r="D2" t="inlineStr">
        <is>
          <t>Germany</t>
        </is>
      </c>
      <c r="E2" t="inlineStr">
        <is>
          <t>Male</t>
        </is>
      </c>
      <c r="F2" t="n">
        <v>20</v>
      </c>
      <c r="G2" t="n">
        <v>7</v>
      </c>
      <c r="H2" t="n">
        <v>119274.87</v>
      </c>
      <c r="I2" t="n">
        <v>3</v>
      </c>
      <c r="J2" t="n">
        <v>1</v>
      </c>
      <c r="K2" t="n">
        <v>0</v>
      </c>
      <c r="L2" t="n">
        <v>107886.77</v>
      </c>
      <c r="M2" t="n">
        <v>0</v>
      </c>
      <c r="O2">
        <f>IF($M2=1,$L2,"")</f>
        <v/>
      </c>
      <c r="P2">
        <f>IF($M2=0,$L2,"")</f>
        <v/>
      </c>
      <c r="R2">
        <f t="array" ref="R2">IFERROR(INDEX($L$2:$L$501,SMALL(IF($M$2:$M$501=1,ROW($M$2:$M$501)-1),ROW()-1)),"")</f>
        <v/>
      </c>
      <c r="S2">
        <f t="array" ref="S2">IFERROR(INDEX($L$2:$L$501,SMALL(IF($M$2:$M$501=0,ROW($M$2:$M$501)-1),ROW()-1)),"")</f>
        <v/>
      </c>
      <c r="U2">
        <f t="array" ref="U2">IFERROR(INDEX($C$2:$C$501,SMALL(IF($D$2:$D$501="France",ROW($D$2:$D$501)-1),ROW()-1)),"")</f>
        <v/>
      </c>
      <c r="V2">
        <f t="array" ref="V2">IFERROR(INDEX($C$2:$C$501,SMALL(IF($D$2:$D$501="Germany",ROW($D$2:$D$501)-1),ROW()-1)),"")</f>
        <v/>
      </c>
      <c r="W2">
        <f t="array" ref="W2">IFERROR(INDEX($C$2:$C$501,SMALL(IF($D$2:$D$501="Spain",ROW($D$2:$D$501)-1),ROW()-1)),"")</f>
        <v/>
      </c>
    </row>
    <row r="3">
      <c r="A3" t="n">
        <v>2</v>
      </c>
      <c r="B3" t="inlineStr">
        <is>
          <t>Smith</t>
        </is>
      </c>
      <c r="C3" t="n">
        <v>365</v>
      </c>
      <c r="D3" t="inlineStr">
        <is>
          <t>Spain</t>
        </is>
      </c>
      <c r="E3" t="inlineStr">
        <is>
          <t>Female</t>
        </is>
      </c>
      <c r="F3" t="n">
        <v>64</v>
      </c>
      <c r="G3" t="n">
        <v>3</v>
      </c>
      <c r="H3" t="n">
        <v>203737.4</v>
      </c>
      <c r="I3" t="n">
        <v>3</v>
      </c>
      <c r="J3" t="n">
        <v>1</v>
      </c>
      <c r="K3" t="n">
        <v>1</v>
      </c>
      <c r="L3" t="n">
        <v>52848.11</v>
      </c>
      <c r="M3" t="n">
        <v>0</v>
      </c>
      <c r="O3">
        <f>IF($M3=1,$L3,"")</f>
        <v/>
      </c>
      <c r="P3">
        <f>IF($M3=0,$L3,"")</f>
        <v/>
      </c>
      <c r="R3">
        <f t="array" ref="R3">IFERROR(INDEX($L$2:$L$501,SMALL(IF($M$2:$M$501=1,ROW($M$2:$M$501)-1),ROW()-1)),"")</f>
        <v/>
      </c>
      <c r="S3">
        <f t="array" ref="S3">IFERROR(INDEX($L$2:$L$501,SMALL(IF($M$2:$M$501=0,ROW($M$2:$M$501)-1),ROW()-1)),"")</f>
        <v/>
      </c>
      <c r="U3">
        <f t="array" ref="U3">IFERROR(INDEX($C$2:$C$501,SMALL(IF($D$2:$D$501="France",ROW($D$2:$D$501)-1),ROW()-1)),"")</f>
        <v/>
      </c>
      <c r="V3">
        <f t="array" ref="V3">IFERROR(INDEX($C$2:$C$501,SMALL(IF($D$2:$D$501="Germany",ROW($D$2:$D$501)-1),ROW()-1)),"")</f>
        <v/>
      </c>
      <c r="W3">
        <f t="array" ref="W3">IFERROR(INDEX($C$2:$C$501,SMALL(IF($D$2:$D$501="Spain",ROW($D$2:$D$501)-1),ROW()-1)),"")</f>
        <v/>
      </c>
    </row>
    <row r="4">
      <c r="A4" t="n">
        <v>3</v>
      </c>
      <c r="B4" t="inlineStr">
        <is>
          <t>Jones</t>
        </is>
      </c>
      <c r="C4" t="n">
        <v>519</v>
      </c>
      <c r="D4" t="inlineStr">
        <is>
          <t>Germany</t>
        </is>
      </c>
      <c r="E4" t="inlineStr">
        <is>
          <t>Male</t>
        </is>
      </c>
      <c r="F4" t="n">
        <v>69</v>
      </c>
      <c r="G4" t="n">
        <v>6</v>
      </c>
      <c r="H4" t="n">
        <v>146780.5</v>
      </c>
      <c r="I4" t="n">
        <v>3</v>
      </c>
      <c r="J4" t="n">
        <v>0</v>
      </c>
      <c r="K4" t="n">
        <v>0</v>
      </c>
      <c r="L4" t="n">
        <v>94395.02</v>
      </c>
      <c r="M4" t="n">
        <v>0</v>
      </c>
      <c r="O4">
        <f>IF($M4=1,$L4,"")</f>
        <v/>
      </c>
      <c r="P4">
        <f>IF($M4=0,$L4,"")</f>
        <v/>
      </c>
      <c r="R4">
        <f t="array" ref="R4">IFERROR(INDEX($L$2:$L$501,SMALL(IF($M$2:$M$501=1,ROW($M$2:$M$501)-1),ROW()-1)),"")</f>
        <v/>
      </c>
      <c r="S4">
        <f t="array" ref="S4">IFERROR(INDEX($L$2:$L$501,SMALL(IF($M$2:$M$501=0,ROW($M$2:$M$501)-1),ROW()-1)),"")</f>
        <v/>
      </c>
      <c r="U4">
        <f t="array" ref="U4">IFERROR(INDEX($C$2:$C$501,SMALL(IF($D$2:$D$501="France",ROW($D$2:$D$501)-1),ROW()-1)),"")</f>
        <v/>
      </c>
      <c r="V4">
        <f t="array" ref="V4">IFERROR(INDEX($C$2:$C$501,SMALL(IF($D$2:$D$501="Germany",ROW($D$2:$D$501)-1),ROW()-1)),"")</f>
        <v/>
      </c>
      <c r="W4">
        <f t="array" ref="W4">IFERROR(INDEX($C$2:$C$501,SMALL(IF($D$2:$D$501="Spain",ROW($D$2:$D$501)-1),ROW()-1)),"")</f>
        <v/>
      </c>
    </row>
    <row r="5">
      <c r="A5" t="n">
        <v>4</v>
      </c>
      <c r="B5" t="inlineStr">
        <is>
          <t>Jones</t>
        </is>
      </c>
      <c r="C5" t="n">
        <v>516</v>
      </c>
      <c r="D5" t="inlineStr">
        <is>
          <t>Germany</t>
        </is>
      </c>
      <c r="E5" t="inlineStr">
        <is>
          <t>Female</t>
        </is>
      </c>
      <c r="F5" t="n">
        <v>59</v>
      </c>
      <c r="G5" t="n">
        <v>0</v>
      </c>
      <c r="H5" t="n">
        <v>23572.03</v>
      </c>
      <c r="I5" t="n">
        <v>1</v>
      </c>
      <c r="J5" t="n">
        <v>1</v>
      </c>
      <c r="K5" t="n">
        <v>0</v>
      </c>
      <c r="L5" t="n">
        <v>146739.55</v>
      </c>
      <c r="M5" t="n">
        <v>0</v>
      </c>
      <c r="O5">
        <f>IF($M5=1,$L5,"")</f>
        <v/>
      </c>
      <c r="P5">
        <f>IF($M5=0,$L5,"")</f>
        <v/>
      </c>
      <c r="R5">
        <f t="array" ref="R5">IFERROR(INDEX($L$2:$L$501,SMALL(IF($M$2:$M$501=1,ROW($M$2:$M$501)-1),ROW()-1)),"")</f>
        <v/>
      </c>
      <c r="S5">
        <f t="array" ref="S5">IFERROR(INDEX($L$2:$L$501,SMALL(IF($M$2:$M$501=0,ROW($M$2:$M$501)-1),ROW()-1)),"")</f>
        <v/>
      </c>
      <c r="U5">
        <f t="array" ref="U5">IFERROR(INDEX($C$2:$C$501,SMALL(IF($D$2:$D$501="France",ROW($D$2:$D$501)-1),ROW()-1)),"")</f>
        <v/>
      </c>
      <c r="V5">
        <f t="array" ref="V5">IFERROR(INDEX($C$2:$C$501,SMALL(IF($D$2:$D$501="Germany",ROW($D$2:$D$501)-1),ROW()-1)),"")</f>
        <v/>
      </c>
      <c r="W5">
        <f t="array" ref="W5">IFERROR(INDEX($C$2:$C$501,SMALL(IF($D$2:$D$501="Spain",ROW($D$2:$D$501)-1),ROW()-1)),"")</f>
        <v/>
      </c>
    </row>
    <row r="6">
      <c r="A6" t="n">
        <v>5</v>
      </c>
      <c r="B6" t="inlineStr">
        <is>
          <t>Wilson</t>
        </is>
      </c>
      <c r="C6" t="n">
        <v>659</v>
      </c>
      <c r="D6" t="inlineStr">
        <is>
          <t>Spain</t>
        </is>
      </c>
      <c r="E6" t="inlineStr">
        <is>
          <t>Female</t>
        </is>
      </c>
      <c r="F6" t="n">
        <v>21</v>
      </c>
      <c r="G6" t="n">
        <v>2</v>
      </c>
      <c r="H6" t="n">
        <v>7463.43</v>
      </c>
      <c r="I6" t="n">
        <v>1</v>
      </c>
      <c r="J6" t="n">
        <v>1</v>
      </c>
      <c r="K6" t="n">
        <v>1</v>
      </c>
      <c r="L6" t="n">
        <v>16036.55</v>
      </c>
      <c r="M6" t="n">
        <v>0</v>
      </c>
      <c r="O6">
        <f>IF($M6=1,$L6,"")</f>
        <v/>
      </c>
      <c r="P6">
        <f>IF($M6=0,$L6,"")</f>
        <v/>
      </c>
      <c r="R6">
        <f t="array" ref="R6">IFERROR(INDEX($L$2:$L$501,SMALL(IF($M$2:$M$501=1,ROW($M$2:$M$501)-1),ROW()-1)),"")</f>
        <v/>
      </c>
      <c r="S6">
        <f t="array" ref="S6">IFERROR(INDEX($L$2:$L$501,SMALL(IF($M$2:$M$501=0,ROW($M$2:$M$501)-1),ROW()-1)),"")</f>
        <v/>
      </c>
      <c r="U6">
        <f t="array" ref="U6">IFERROR(INDEX($C$2:$C$501,SMALL(IF($D$2:$D$501="France",ROW($D$2:$D$501)-1),ROW()-1)),"")</f>
        <v/>
      </c>
      <c r="V6">
        <f t="array" ref="V6">IFERROR(INDEX($C$2:$C$501,SMALL(IF($D$2:$D$501="Germany",ROW($D$2:$D$501)-1),ROW()-1)),"")</f>
        <v/>
      </c>
      <c r="W6">
        <f t="array" ref="W6">IFERROR(INDEX($C$2:$C$501,SMALL(IF($D$2:$D$501="Spain",ROW($D$2:$D$501)-1),ROW()-1)),"")</f>
        <v/>
      </c>
    </row>
    <row r="7">
      <c r="A7" t="n">
        <v>6</v>
      </c>
      <c r="B7" t="inlineStr">
        <is>
          <t>Taylor</t>
        </is>
      </c>
      <c r="C7" t="n">
        <v>777</v>
      </c>
      <c r="D7" t="inlineStr">
        <is>
          <t>Spain</t>
        </is>
      </c>
      <c r="E7" t="inlineStr">
        <is>
          <t>Female</t>
        </is>
      </c>
      <c r="F7" t="n">
        <v>34</v>
      </c>
      <c r="G7" t="n">
        <v>0</v>
      </c>
      <c r="H7" t="n">
        <v>127812.9</v>
      </c>
      <c r="I7" t="n">
        <v>4</v>
      </c>
      <c r="J7" t="n">
        <v>1</v>
      </c>
      <c r="K7" t="n">
        <v>0</v>
      </c>
      <c r="L7" t="n">
        <v>65189.1</v>
      </c>
      <c r="M7" t="n">
        <v>0</v>
      </c>
      <c r="O7">
        <f>IF($M7=1,$L7,"")</f>
        <v/>
      </c>
      <c r="P7">
        <f>IF($M7=0,$L7,"")</f>
        <v/>
      </c>
      <c r="R7">
        <f t="array" ref="R7">IFERROR(INDEX($L$2:$L$501,SMALL(IF($M$2:$M$501=1,ROW($M$2:$M$501)-1),ROW()-1)),"")</f>
        <v/>
      </c>
      <c r="S7">
        <f t="array" ref="S7">IFERROR(INDEX($L$2:$L$501,SMALL(IF($M$2:$M$501=0,ROW($M$2:$M$501)-1),ROW()-1)),"")</f>
        <v/>
      </c>
      <c r="U7">
        <f t="array" ref="U7">IFERROR(INDEX($C$2:$C$501,SMALL(IF($D$2:$D$501="France",ROW($D$2:$D$501)-1),ROW()-1)),"")</f>
        <v/>
      </c>
      <c r="V7">
        <f t="array" ref="V7">IFERROR(INDEX($C$2:$C$501,SMALL(IF($D$2:$D$501="Germany",ROW($D$2:$D$501)-1),ROW()-1)),"")</f>
        <v/>
      </c>
      <c r="W7">
        <f t="array" ref="W7">IFERROR(INDEX($C$2:$C$501,SMALL(IF($D$2:$D$501="Spain",ROW($D$2:$D$501)-1),ROW()-1)),"")</f>
        <v/>
      </c>
    </row>
    <row r="8">
      <c r="A8" t="n">
        <v>7</v>
      </c>
      <c r="B8" t="inlineStr">
        <is>
          <t>Jones</t>
        </is>
      </c>
      <c r="C8" t="n">
        <v>432</v>
      </c>
      <c r="D8" t="inlineStr">
        <is>
          <t>Germany</t>
        </is>
      </c>
      <c r="E8" t="inlineStr">
        <is>
          <t>Female</t>
        </is>
      </c>
      <c r="F8" t="n">
        <v>81</v>
      </c>
      <c r="G8" t="n">
        <v>10</v>
      </c>
      <c r="H8" t="n">
        <v>136164.96</v>
      </c>
      <c r="I8" t="n">
        <v>4</v>
      </c>
      <c r="J8" t="n">
        <v>0</v>
      </c>
      <c r="K8" t="n">
        <v>0</v>
      </c>
      <c r="L8" t="n">
        <v>135962.88</v>
      </c>
      <c r="M8" t="n">
        <v>0</v>
      </c>
      <c r="O8">
        <f>IF($M8=1,$L8,"")</f>
        <v/>
      </c>
      <c r="P8">
        <f>IF($M8=0,$L8,"")</f>
        <v/>
      </c>
      <c r="R8">
        <f t="array" ref="R8">IFERROR(INDEX($L$2:$L$501,SMALL(IF($M$2:$M$501=1,ROW($M$2:$M$501)-1),ROW()-1)),"")</f>
        <v/>
      </c>
      <c r="S8">
        <f t="array" ref="S8">IFERROR(INDEX($L$2:$L$501,SMALL(IF($M$2:$M$501=0,ROW($M$2:$M$501)-1),ROW()-1)),"")</f>
        <v/>
      </c>
      <c r="U8">
        <f t="array" ref="U8">IFERROR(INDEX($C$2:$C$501,SMALL(IF($D$2:$D$501="France",ROW($D$2:$D$501)-1),ROW()-1)),"")</f>
        <v/>
      </c>
      <c r="V8">
        <f t="array" ref="V8">IFERROR(INDEX($C$2:$C$501,SMALL(IF($D$2:$D$501="Germany",ROW($D$2:$D$501)-1),ROW()-1)),"")</f>
        <v/>
      </c>
      <c r="W8">
        <f t="array" ref="W8">IFERROR(INDEX($C$2:$C$501,SMALL(IF($D$2:$D$501="Spain",ROW($D$2:$D$501)-1),ROW()-1)),"")</f>
        <v/>
      </c>
    </row>
    <row r="9">
      <c r="A9" t="n">
        <v>8</v>
      </c>
      <c r="B9" t="inlineStr">
        <is>
          <t>Davis</t>
        </is>
      </c>
      <c r="C9" t="n">
        <v>741</v>
      </c>
      <c r="D9" t="inlineStr">
        <is>
          <t>France</t>
        </is>
      </c>
      <c r="E9" t="inlineStr">
        <is>
          <t>Male</t>
        </is>
      </c>
      <c r="F9" t="n">
        <v>82</v>
      </c>
      <c r="G9" t="n">
        <v>5</v>
      </c>
      <c r="H9" t="n">
        <v>204042.02</v>
      </c>
      <c r="I9" t="n">
        <v>2</v>
      </c>
      <c r="J9" t="n">
        <v>1</v>
      </c>
      <c r="K9" t="n">
        <v>1</v>
      </c>
      <c r="L9" t="n">
        <v>92581.53999999999</v>
      </c>
      <c r="M9" t="n">
        <v>1</v>
      </c>
      <c r="O9">
        <f>IF($M9=1,$L9,"")</f>
        <v/>
      </c>
      <c r="P9">
        <f>IF($M9=0,$L9,"")</f>
        <v/>
      </c>
      <c r="R9">
        <f t="array" ref="R9">IFERROR(INDEX($L$2:$L$501,SMALL(IF($M$2:$M$501=1,ROW($M$2:$M$501)-1),ROW()-1)),"")</f>
        <v/>
      </c>
      <c r="S9">
        <f t="array" ref="S9">IFERROR(INDEX($L$2:$L$501,SMALL(IF($M$2:$M$501=0,ROW($M$2:$M$501)-1),ROW()-1)),"")</f>
        <v/>
      </c>
      <c r="U9">
        <f t="array" ref="U9">IFERROR(INDEX($C$2:$C$501,SMALL(IF($D$2:$D$501="France",ROW($D$2:$D$501)-1),ROW()-1)),"")</f>
        <v/>
      </c>
      <c r="V9">
        <f t="array" ref="V9">IFERROR(INDEX($C$2:$C$501,SMALL(IF($D$2:$D$501="Germany",ROW($D$2:$D$501)-1),ROW()-1)),"")</f>
        <v/>
      </c>
      <c r="W9">
        <f t="array" ref="W9">IFERROR(INDEX($C$2:$C$501,SMALL(IF($D$2:$D$501="Spain",ROW($D$2:$D$501)-1),ROW()-1)),"")</f>
        <v/>
      </c>
    </row>
    <row r="10">
      <c r="A10" t="n">
        <v>9</v>
      </c>
      <c r="B10" t="inlineStr">
        <is>
          <t>Williams</t>
        </is>
      </c>
      <c r="C10" t="n">
        <v>570</v>
      </c>
      <c r="D10" t="inlineStr">
        <is>
          <t>Germany</t>
        </is>
      </c>
      <c r="E10" t="inlineStr">
        <is>
          <t>Female</t>
        </is>
      </c>
      <c r="F10" t="n">
        <v>31</v>
      </c>
      <c r="G10" t="n">
        <v>1</v>
      </c>
      <c r="H10" t="n">
        <v>182609.21</v>
      </c>
      <c r="I10" t="n">
        <v>2</v>
      </c>
      <c r="J10" t="n">
        <v>0</v>
      </c>
      <c r="K10" t="n">
        <v>1</v>
      </c>
      <c r="L10" t="n">
        <v>141848.51</v>
      </c>
      <c r="M10" t="n">
        <v>1</v>
      </c>
      <c r="O10">
        <f>IF($M10=1,$L10,"")</f>
        <v/>
      </c>
      <c r="P10">
        <f>IF($M10=0,$L10,"")</f>
        <v/>
      </c>
      <c r="R10">
        <f t="array" ref="R10">IFERROR(INDEX($L$2:$L$501,SMALL(IF($M$2:$M$501=1,ROW($M$2:$M$501)-1),ROW()-1)),"")</f>
        <v/>
      </c>
      <c r="S10">
        <f t="array" ref="S10">IFERROR(INDEX($L$2:$L$501,SMALL(IF($M$2:$M$501=0,ROW($M$2:$M$501)-1),ROW()-1)),"")</f>
        <v/>
      </c>
      <c r="U10">
        <f t="array" ref="U10">IFERROR(INDEX($C$2:$C$501,SMALL(IF($D$2:$D$501="France",ROW($D$2:$D$501)-1),ROW()-1)),"")</f>
        <v/>
      </c>
      <c r="V10">
        <f t="array" ref="V10">IFERROR(INDEX($C$2:$C$501,SMALL(IF($D$2:$D$501="Germany",ROW($D$2:$D$501)-1),ROW()-1)),"")</f>
        <v/>
      </c>
      <c r="W10">
        <f t="array" ref="W10">IFERROR(INDEX($C$2:$C$501,SMALL(IF($D$2:$D$501="Spain",ROW($D$2:$D$501)-1),ROW()-1)),"")</f>
        <v/>
      </c>
    </row>
    <row r="11">
      <c r="A11" t="n">
        <v>10</v>
      </c>
      <c r="B11" t="inlineStr">
        <is>
          <t>Brown</t>
        </is>
      </c>
      <c r="C11" t="n">
        <v>671</v>
      </c>
      <c r="D11" t="inlineStr">
        <is>
          <t>France</t>
        </is>
      </c>
      <c r="E11" t="inlineStr">
        <is>
          <t>Female</t>
        </is>
      </c>
      <c r="F11" t="n">
        <v>56</v>
      </c>
      <c r="G11" t="n">
        <v>7</v>
      </c>
      <c r="H11" t="n">
        <v>56345.73</v>
      </c>
      <c r="I11" t="n">
        <v>2</v>
      </c>
      <c r="J11" t="n">
        <v>0</v>
      </c>
      <c r="K11" t="n">
        <v>0</v>
      </c>
      <c r="L11" t="n">
        <v>143065.1</v>
      </c>
      <c r="M11" t="n">
        <v>1</v>
      </c>
      <c r="O11">
        <f>IF($M11=1,$L11,"")</f>
        <v/>
      </c>
      <c r="P11">
        <f>IF($M11=0,$L11,"")</f>
        <v/>
      </c>
      <c r="R11">
        <f t="array" ref="R11">IFERROR(INDEX($L$2:$L$501,SMALL(IF($M$2:$M$501=1,ROW($M$2:$M$501)-1),ROW()-1)),"")</f>
        <v/>
      </c>
      <c r="S11">
        <f t="array" ref="S11">IFERROR(INDEX($L$2:$L$501,SMALL(IF($M$2:$M$501=0,ROW($M$2:$M$501)-1),ROW()-1)),"")</f>
        <v/>
      </c>
      <c r="U11">
        <f t="array" ref="U11">IFERROR(INDEX($C$2:$C$501,SMALL(IF($D$2:$D$501="France",ROW($D$2:$D$501)-1),ROW()-1)),"")</f>
        <v/>
      </c>
      <c r="V11">
        <f t="array" ref="V11">IFERROR(INDEX($C$2:$C$501,SMALL(IF($D$2:$D$501="Germany",ROW($D$2:$D$501)-1),ROW()-1)),"")</f>
        <v/>
      </c>
      <c r="W11">
        <f t="array" ref="W11">IFERROR(INDEX($C$2:$C$501,SMALL(IF($D$2:$D$501="Spain",ROW($D$2:$D$501)-1),ROW()-1)),"")</f>
        <v/>
      </c>
    </row>
    <row r="12">
      <c r="A12" t="n">
        <v>11</v>
      </c>
      <c r="B12" t="inlineStr">
        <is>
          <t>Wilson</t>
        </is>
      </c>
      <c r="C12" t="n">
        <v>519</v>
      </c>
      <c r="D12" t="inlineStr">
        <is>
          <t>France</t>
        </is>
      </c>
      <c r="E12" t="inlineStr">
        <is>
          <t>Female</t>
        </is>
      </c>
      <c r="F12" t="n">
        <v>22</v>
      </c>
      <c r="G12" t="n">
        <v>10</v>
      </c>
      <c r="H12" t="n">
        <v>198399.26</v>
      </c>
      <c r="I12" t="n">
        <v>3</v>
      </c>
      <c r="J12" t="n">
        <v>1</v>
      </c>
      <c r="K12" t="n">
        <v>0</v>
      </c>
      <c r="L12" t="n">
        <v>125839.96</v>
      </c>
      <c r="M12" t="n">
        <v>1</v>
      </c>
      <c r="O12">
        <f>IF($M12=1,$L12,"")</f>
        <v/>
      </c>
      <c r="P12">
        <f>IF($M12=0,$L12,"")</f>
        <v/>
      </c>
      <c r="R12">
        <f t="array" ref="R12">IFERROR(INDEX($L$2:$L$501,SMALL(IF($M$2:$M$501=1,ROW($M$2:$M$501)-1),ROW()-1)),"")</f>
        <v/>
      </c>
      <c r="S12">
        <f t="array" ref="S12">IFERROR(INDEX($L$2:$L$501,SMALL(IF($M$2:$M$501=0,ROW($M$2:$M$501)-1),ROW()-1)),"")</f>
        <v/>
      </c>
      <c r="U12">
        <f t="array" ref="U12">IFERROR(INDEX($C$2:$C$501,SMALL(IF($D$2:$D$501="France",ROW($D$2:$D$501)-1),ROW()-1)),"")</f>
        <v/>
      </c>
      <c r="V12">
        <f t="array" ref="V12">IFERROR(INDEX($C$2:$C$501,SMALL(IF($D$2:$D$501="Germany",ROW($D$2:$D$501)-1),ROW()-1)),"")</f>
        <v/>
      </c>
      <c r="W12">
        <f t="array" ref="W12">IFERROR(INDEX($C$2:$C$501,SMALL(IF($D$2:$D$501="Spain",ROW($D$2:$D$501)-1),ROW()-1)),"")</f>
        <v/>
      </c>
    </row>
    <row r="13">
      <c r="A13" t="n">
        <v>12</v>
      </c>
      <c r="B13" t="inlineStr">
        <is>
          <t>Miller</t>
        </is>
      </c>
      <c r="C13" t="n">
        <v>672</v>
      </c>
      <c r="D13" t="inlineStr">
        <is>
          <t>Germany</t>
        </is>
      </c>
      <c r="E13" t="inlineStr">
        <is>
          <t>Male</t>
        </is>
      </c>
      <c r="F13" t="n">
        <v>21</v>
      </c>
      <c r="G13" t="n">
        <v>3</v>
      </c>
      <c r="H13" t="n">
        <v>157278.91</v>
      </c>
      <c r="I13" t="n">
        <v>3</v>
      </c>
      <c r="J13" t="n">
        <v>0</v>
      </c>
      <c r="K13" t="n">
        <v>0</v>
      </c>
      <c r="L13" t="n">
        <v>58708.71</v>
      </c>
      <c r="M13" t="n">
        <v>1</v>
      </c>
      <c r="O13">
        <f>IF($M13=1,$L13,"")</f>
        <v/>
      </c>
      <c r="P13">
        <f>IF($M13=0,$L13,"")</f>
        <v/>
      </c>
      <c r="R13">
        <f t="array" ref="R13">IFERROR(INDEX($L$2:$L$501,SMALL(IF($M$2:$M$501=1,ROW($M$2:$M$501)-1),ROW()-1)),"")</f>
        <v/>
      </c>
      <c r="S13">
        <f t="array" ref="S13">IFERROR(INDEX($L$2:$L$501,SMALL(IF($M$2:$M$501=0,ROW($M$2:$M$501)-1),ROW()-1)),"")</f>
        <v/>
      </c>
      <c r="U13">
        <f t="array" ref="U13">IFERROR(INDEX($C$2:$C$501,SMALL(IF($D$2:$D$501="France",ROW($D$2:$D$501)-1),ROW()-1)),"")</f>
        <v/>
      </c>
      <c r="V13">
        <f t="array" ref="V13">IFERROR(INDEX($C$2:$C$501,SMALL(IF($D$2:$D$501="Germany",ROW($D$2:$D$501)-1),ROW()-1)),"")</f>
        <v/>
      </c>
      <c r="W13">
        <f t="array" ref="W13">IFERROR(INDEX($C$2:$C$501,SMALL(IF($D$2:$D$501="Spain",ROW($D$2:$D$501)-1),ROW()-1)),"")</f>
        <v/>
      </c>
    </row>
    <row r="14">
      <c r="A14" t="n">
        <v>13</v>
      </c>
      <c r="B14" t="inlineStr">
        <is>
          <t>Moore</t>
        </is>
      </c>
      <c r="C14" t="n">
        <v>464</v>
      </c>
      <c r="D14" t="inlineStr">
        <is>
          <t>Spain</t>
        </is>
      </c>
      <c r="E14" t="inlineStr">
        <is>
          <t>Female</t>
        </is>
      </c>
      <c r="F14" t="n">
        <v>37</v>
      </c>
      <c r="G14" t="n">
        <v>2</v>
      </c>
      <c r="H14" t="n">
        <v>58317.75</v>
      </c>
      <c r="I14" t="n">
        <v>3</v>
      </c>
      <c r="J14" t="n">
        <v>0</v>
      </c>
      <c r="K14" t="n">
        <v>0</v>
      </c>
      <c r="L14" t="n">
        <v>13740.96</v>
      </c>
      <c r="M14" t="n">
        <v>0</v>
      </c>
      <c r="O14">
        <f>IF($M14=1,$L14,"")</f>
        <v/>
      </c>
      <c r="P14">
        <f>IF($M14=0,$L14,"")</f>
        <v/>
      </c>
      <c r="R14">
        <f t="array" ref="R14">IFERROR(INDEX($L$2:$L$501,SMALL(IF($M$2:$M$501=1,ROW($M$2:$M$501)-1),ROW()-1)),"")</f>
        <v/>
      </c>
      <c r="S14">
        <f t="array" ref="S14">IFERROR(INDEX($L$2:$L$501,SMALL(IF($M$2:$M$501=0,ROW($M$2:$M$501)-1),ROW()-1)),"")</f>
        <v/>
      </c>
      <c r="U14">
        <f t="array" ref="U14">IFERROR(INDEX($C$2:$C$501,SMALL(IF($D$2:$D$501="France",ROW($D$2:$D$501)-1),ROW()-1)),"")</f>
        <v/>
      </c>
      <c r="V14">
        <f t="array" ref="V14">IFERROR(INDEX($C$2:$C$501,SMALL(IF($D$2:$D$501="Germany",ROW($D$2:$D$501)-1),ROW()-1)),"")</f>
        <v/>
      </c>
      <c r="W14">
        <f t="array" ref="W14">IFERROR(INDEX($C$2:$C$501,SMALL(IF($D$2:$D$501="Spain",ROW($D$2:$D$501)-1),ROW()-1)),"")</f>
        <v/>
      </c>
    </row>
    <row r="15">
      <c r="A15" t="n">
        <v>14</v>
      </c>
      <c r="B15" t="inlineStr">
        <is>
          <t>Moore</t>
        </is>
      </c>
      <c r="C15" t="n">
        <v>698</v>
      </c>
      <c r="D15" t="inlineStr">
        <is>
          <t>Germany</t>
        </is>
      </c>
      <c r="E15" t="inlineStr">
        <is>
          <t>Male</t>
        </is>
      </c>
      <c r="F15" t="n">
        <v>34</v>
      </c>
      <c r="G15" t="n">
        <v>3</v>
      </c>
      <c r="H15" t="n">
        <v>128968.35</v>
      </c>
      <c r="I15" t="n">
        <v>1</v>
      </c>
      <c r="J15" t="n">
        <v>0</v>
      </c>
      <c r="K15" t="n">
        <v>0</v>
      </c>
      <c r="L15" t="n">
        <v>143532.82</v>
      </c>
      <c r="M15" t="n">
        <v>1</v>
      </c>
      <c r="O15">
        <f>IF($M15=1,$L15,"")</f>
        <v/>
      </c>
      <c r="P15">
        <f>IF($M15=0,$L15,"")</f>
        <v/>
      </c>
      <c r="R15">
        <f t="array" ref="R15">IFERROR(INDEX($L$2:$L$501,SMALL(IF($M$2:$M$501=1,ROW($M$2:$M$501)-1),ROW()-1)),"")</f>
        <v/>
      </c>
      <c r="S15">
        <f t="array" ref="S15">IFERROR(INDEX($L$2:$L$501,SMALL(IF($M$2:$M$501=0,ROW($M$2:$M$501)-1),ROW()-1)),"")</f>
        <v/>
      </c>
      <c r="U15">
        <f t="array" ref="U15">IFERROR(INDEX($C$2:$C$501,SMALL(IF($D$2:$D$501="France",ROW($D$2:$D$501)-1),ROW()-1)),"")</f>
        <v/>
      </c>
      <c r="V15">
        <f t="array" ref="V15">IFERROR(INDEX($C$2:$C$501,SMALL(IF($D$2:$D$501="Germany",ROW($D$2:$D$501)-1),ROW()-1)),"")</f>
        <v/>
      </c>
      <c r="W15">
        <f t="array" ref="W15">IFERROR(INDEX($C$2:$C$501,SMALL(IF($D$2:$D$501="Spain",ROW($D$2:$D$501)-1),ROW()-1)),"")</f>
        <v/>
      </c>
    </row>
    <row r="16">
      <c r="A16" t="n">
        <v>15</v>
      </c>
      <c r="B16" t="inlineStr">
        <is>
          <t>Johnson</t>
        </is>
      </c>
      <c r="C16" t="n">
        <v>684</v>
      </c>
      <c r="D16" t="inlineStr">
        <is>
          <t>Germany</t>
        </is>
      </c>
      <c r="E16" t="inlineStr">
        <is>
          <t>Male</t>
        </is>
      </c>
      <c r="F16" t="n">
        <v>89</v>
      </c>
      <c r="G16" t="n">
        <v>2</v>
      </c>
      <c r="H16" t="n">
        <v>60006.91</v>
      </c>
      <c r="I16" t="n">
        <v>2</v>
      </c>
      <c r="J16" t="n">
        <v>1</v>
      </c>
      <c r="K16" t="n">
        <v>0</v>
      </c>
      <c r="L16" t="n">
        <v>38571.28</v>
      </c>
      <c r="M16" t="n">
        <v>0</v>
      </c>
      <c r="O16">
        <f>IF($M16=1,$L16,"")</f>
        <v/>
      </c>
      <c r="P16">
        <f>IF($M16=0,$L16,"")</f>
        <v/>
      </c>
      <c r="R16">
        <f t="array" ref="R16">IFERROR(INDEX($L$2:$L$501,SMALL(IF($M$2:$M$501=1,ROW($M$2:$M$501)-1),ROW()-1)),"")</f>
        <v/>
      </c>
      <c r="S16">
        <f t="array" ref="S16">IFERROR(INDEX($L$2:$L$501,SMALL(IF($M$2:$M$501=0,ROW($M$2:$M$501)-1),ROW()-1)),"")</f>
        <v/>
      </c>
      <c r="U16">
        <f t="array" ref="U16">IFERROR(INDEX($C$2:$C$501,SMALL(IF($D$2:$D$501="France",ROW($D$2:$D$501)-1),ROW()-1)),"")</f>
        <v/>
      </c>
      <c r="V16">
        <f t="array" ref="V16">IFERROR(INDEX($C$2:$C$501,SMALL(IF($D$2:$D$501="Germany",ROW($D$2:$D$501)-1),ROW()-1)),"")</f>
        <v/>
      </c>
      <c r="W16">
        <f t="array" ref="W16">IFERROR(INDEX($C$2:$C$501,SMALL(IF($D$2:$D$501="Spain",ROW($D$2:$D$501)-1),ROW()-1)),"")</f>
        <v/>
      </c>
    </row>
    <row r="17">
      <c r="A17" t="n">
        <v>16</v>
      </c>
      <c r="B17" t="inlineStr">
        <is>
          <t>Miller</t>
        </is>
      </c>
      <c r="C17" t="n">
        <v>579</v>
      </c>
      <c r="D17" t="inlineStr">
        <is>
          <t>France</t>
        </is>
      </c>
      <c r="E17" t="inlineStr">
        <is>
          <t>Female</t>
        </is>
      </c>
      <c r="F17" t="n">
        <v>42</v>
      </c>
      <c r="G17" t="n">
        <v>3</v>
      </c>
      <c r="H17" t="n">
        <v>180430.72</v>
      </c>
      <c r="I17" t="n">
        <v>4</v>
      </c>
      <c r="J17" t="n">
        <v>0</v>
      </c>
      <c r="K17" t="n">
        <v>1</v>
      </c>
      <c r="L17" t="n">
        <v>43961.45</v>
      </c>
      <c r="M17" t="n">
        <v>1</v>
      </c>
      <c r="O17">
        <f>IF($M17=1,$L17,"")</f>
        <v/>
      </c>
      <c r="P17">
        <f>IF($M17=0,$L17,"")</f>
        <v/>
      </c>
      <c r="R17">
        <f t="array" ref="R17">IFERROR(INDEX($L$2:$L$501,SMALL(IF($M$2:$M$501=1,ROW($M$2:$M$501)-1),ROW()-1)),"")</f>
        <v/>
      </c>
      <c r="S17">
        <f t="array" ref="S17">IFERROR(INDEX($L$2:$L$501,SMALL(IF($M$2:$M$501=0,ROW($M$2:$M$501)-1),ROW()-1)),"")</f>
        <v/>
      </c>
      <c r="U17">
        <f t="array" ref="U17">IFERROR(INDEX($C$2:$C$501,SMALL(IF($D$2:$D$501="France",ROW($D$2:$D$501)-1),ROW()-1)),"")</f>
        <v/>
      </c>
      <c r="V17">
        <f t="array" ref="V17">IFERROR(INDEX($C$2:$C$501,SMALL(IF($D$2:$D$501="Germany",ROW($D$2:$D$501)-1),ROW()-1)),"")</f>
        <v/>
      </c>
      <c r="W17">
        <f t="array" ref="W17">IFERROR(INDEX($C$2:$C$501,SMALL(IF($D$2:$D$501="Spain",ROW($D$2:$D$501)-1),ROW()-1)),"")</f>
        <v/>
      </c>
    </row>
    <row r="18">
      <c r="A18" t="n">
        <v>17</v>
      </c>
      <c r="B18" t="inlineStr">
        <is>
          <t>Wilson</t>
        </is>
      </c>
      <c r="C18" t="n">
        <v>569</v>
      </c>
      <c r="D18" t="inlineStr">
        <is>
          <t>Germany</t>
        </is>
      </c>
      <c r="E18" t="inlineStr">
        <is>
          <t>Male</t>
        </is>
      </c>
      <c r="F18" t="n">
        <v>29</v>
      </c>
      <c r="G18" t="n">
        <v>7</v>
      </c>
      <c r="H18" t="n">
        <v>75466.39</v>
      </c>
      <c r="I18" t="n">
        <v>1</v>
      </c>
      <c r="J18" t="n">
        <v>0</v>
      </c>
      <c r="K18" t="n">
        <v>0</v>
      </c>
      <c r="L18" t="n">
        <v>103226.64</v>
      </c>
      <c r="M18" t="n">
        <v>1</v>
      </c>
      <c r="O18">
        <f>IF($M18=1,$L18,"")</f>
        <v/>
      </c>
      <c r="P18">
        <f>IF($M18=0,$L18,"")</f>
        <v/>
      </c>
      <c r="R18">
        <f t="array" ref="R18">IFERROR(INDEX($L$2:$L$501,SMALL(IF($M$2:$M$501=1,ROW($M$2:$M$501)-1),ROW()-1)),"")</f>
        <v/>
      </c>
      <c r="S18">
        <f t="array" ref="S18">IFERROR(INDEX($L$2:$L$501,SMALL(IF($M$2:$M$501=0,ROW($M$2:$M$501)-1),ROW()-1)),"")</f>
        <v/>
      </c>
      <c r="U18">
        <f t="array" ref="U18">IFERROR(INDEX($C$2:$C$501,SMALL(IF($D$2:$D$501="France",ROW($D$2:$D$501)-1),ROW()-1)),"")</f>
        <v/>
      </c>
      <c r="V18">
        <f t="array" ref="V18">IFERROR(INDEX($C$2:$C$501,SMALL(IF($D$2:$D$501="Germany",ROW($D$2:$D$501)-1),ROW()-1)),"")</f>
        <v/>
      </c>
      <c r="W18">
        <f t="array" ref="W18">IFERROR(INDEX($C$2:$C$501,SMALL(IF($D$2:$D$501="Spain",ROW($D$2:$D$501)-1),ROW()-1)),"")</f>
        <v/>
      </c>
    </row>
    <row r="19">
      <c r="A19" t="n">
        <v>18</v>
      </c>
      <c r="B19" t="inlineStr">
        <is>
          <t>Wilson</t>
        </is>
      </c>
      <c r="C19" t="n">
        <v>596</v>
      </c>
      <c r="D19" t="inlineStr">
        <is>
          <t>Spain</t>
        </is>
      </c>
      <c r="E19" t="inlineStr">
        <is>
          <t>Male</t>
        </is>
      </c>
      <c r="F19" t="n">
        <v>40</v>
      </c>
      <c r="G19" t="n">
        <v>7</v>
      </c>
      <c r="H19" t="n">
        <v>124186.11</v>
      </c>
      <c r="I19" t="n">
        <v>3</v>
      </c>
      <c r="J19" t="n">
        <v>1</v>
      </c>
      <c r="K19" t="n">
        <v>1</v>
      </c>
      <c r="L19" t="n">
        <v>108305.55</v>
      </c>
      <c r="M19" t="n">
        <v>0</v>
      </c>
      <c r="O19">
        <f>IF($M19=1,$L19,"")</f>
        <v/>
      </c>
      <c r="P19">
        <f>IF($M19=0,$L19,"")</f>
        <v/>
      </c>
      <c r="R19">
        <f t="array" ref="R19">IFERROR(INDEX($L$2:$L$501,SMALL(IF($M$2:$M$501=1,ROW($M$2:$M$501)-1),ROW()-1)),"")</f>
        <v/>
      </c>
      <c r="S19">
        <f t="array" ref="S19">IFERROR(INDEX($L$2:$L$501,SMALL(IF($M$2:$M$501=0,ROW($M$2:$M$501)-1),ROW()-1)),"")</f>
        <v/>
      </c>
      <c r="U19">
        <f t="array" ref="U19">IFERROR(INDEX($C$2:$C$501,SMALL(IF($D$2:$D$501="France",ROW($D$2:$D$501)-1),ROW()-1)),"")</f>
        <v/>
      </c>
      <c r="V19">
        <f t="array" ref="V19">IFERROR(INDEX($C$2:$C$501,SMALL(IF($D$2:$D$501="Germany",ROW($D$2:$D$501)-1),ROW()-1)),"")</f>
        <v/>
      </c>
      <c r="W19">
        <f t="array" ref="W19">IFERROR(INDEX($C$2:$C$501,SMALL(IF($D$2:$D$501="Spain",ROW($D$2:$D$501)-1),ROW()-1)),"")</f>
        <v/>
      </c>
    </row>
    <row r="20">
      <c r="A20" t="n">
        <v>19</v>
      </c>
      <c r="B20" t="inlineStr">
        <is>
          <t>Moore</t>
        </is>
      </c>
      <c r="C20" t="n">
        <v>450</v>
      </c>
      <c r="D20" t="inlineStr">
        <is>
          <t>Germany</t>
        </is>
      </c>
      <c r="E20" t="inlineStr">
        <is>
          <t>Female</t>
        </is>
      </c>
      <c r="F20" t="n">
        <v>78</v>
      </c>
      <c r="G20" t="n">
        <v>1</v>
      </c>
      <c r="H20" t="n">
        <v>224549.07</v>
      </c>
      <c r="I20" t="n">
        <v>4</v>
      </c>
      <c r="J20" t="n">
        <v>0</v>
      </c>
      <c r="K20" t="n">
        <v>1</v>
      </c>
      <c r="L20" t="n">
        <v>144262.57</v>
      </c>
      <c r="M20" t="n">
        <v>1</v>
      </c>
      <c r="O20">
        <f>IF($M20=1,$L20,"")</f>
        <v/>
      </c>
      <c r="P20">
        <f>IF($M20=0,$L20,"")</f>
        <v/>
      </c>
      <c r="R20">
        <f t="array" ref="R20">IFERROR(INDEX($L$2:$L$501,SMALL(IF($M$2:$M$501=1,ROW($M$2:$M$501)-1),ROW()-1)),"")</f>
        <v/>
      </c>
      <c r="S20">
        <f t="array" ref="S20">IFERROR(INDEX($L$2:$L$501,SMALL(IF($M$2:$M$501=0,ROW($M$2:$M$501)-1),ROW()-1)),"")</f>
        <v/>
      </c>
      <c r="U20">
        <f t="array" ref="U20">IFERROR(INDEX($C$2:$C$501,SMALL(IF($D$2:$D$501="France",ROW($D$2:$D$501)-1),ROW()-1)),"")</f>
        <v/>
      </c>
      <c r="V20">
        <f t="array" ref="V20">IFERROR(INDEX($C$2:$C$501,SMALL(IF($D$2:$D$501="Germany",ROW($D$2:$D$501)-1),ROW()-1)),"")</f>
        <v/>
      </c>
      <c r="W20">
        <f t="array" ref="W20">IFERROR(INDEX($C$2:$C$501,SMALL(IF($D$2:$D$501="Spain",ROW($D$2:$D$501)-1),ROW()-1)),"")</f>
        <v/>
      </c>
    </row>
    <row r="21">
      <c r="A21" t="n">
        <v>20</v>
      </c>
      <c r="B21" t="inlineStr">
        <is>
          <t>Johnson</t>
        </is>
      </c>
      <c r="C21" t="n">
        <v>765</v>
      </c>
      <c r="D21" t="inlineStr">
        <is>
          <t>Germany</t>
        </is>
      </c>
      <c r="E21" t="inlineStr">
        <is>
          <t>Female</t>
        </is>
      </c>
      <c r="F21" t="n">
        <v>20</v>
      </c>
      <c r="G21" t="n">
        <v>4</v>
      </c>
      <c r="H21" t="n">
        <v>246840.35</v>
      </c>
      <c r="I21" t="n">
        <v>2</v>
      </c>
      <c r="J21" t="n">
        <v>0</v>
      </c>
      <c r="K21" t="n">
        <v>0</v>
      </c>
      <c r="L21" t="n">
        <v>93337.31</v>
      </c>
      <c r="M21" t="n">
        <v>0</v>
      </c>
      <c r="O21">
        <f>IF($M21=1,$L21,"")</f>
        <v/>
      </c>
      <c r="P21">
        <f>IF($M21=0,$L21,"")</f>
        <v/>
      </c>
      <c r="R21">
        <f t="array" ref="R21">IFERROR(INDEX($L$2:$L$501,SMALL(IF($M$2:$M$501=1,ROW($M$2:$M$501)-1),ROW()-1)),"")</f>
        <v/>
      </c>
      <c r="S21">
        <f t="array" ref="S21">IFERROR(INDEX($L$2:$L$501,SMALL(IF($M$2:$M$501=0,ROW($M$2:$M$501)-1),ROW()-1)),"")</f>
        <v/>
      </c>
      <c r="U21">
        <f t="array" ref="U21">IFERROR(INDEX($C$2:$C$501,SMALL(IF($D$2:$D$501="France",ROW($D$2:$D$501)-1),ROW()-1)),"")</f>
        <v/>
      </c>
      <c r="V21">
        <f t="array" ref="V21">IFERROR(INDEX($C$2:$C$501,SMALL(IF($D$2:$D$501="Germany",ROW($D$2:$D$501)-1),ROW()-1)),"")</f>
        <v/>
      </c>
      <c r="W21">
        <f t="array" ref="W21">IFERROR(INDEX($C$2:$C$501,SMALL(IF($D$2:$D$501="Spain",ROW($D$2:$D$501)-1),ROW()-1)),"")</f>
        <v/>
      </c>
    </row>
    <row r="22">
      <c r="A22" t="n">
        <v>21</v>
      </c>
      <c r="B22" t="inlineStr">
        <is>
          <t>Davis</t>
        </is>
      </c>
      <c r="C22" t="n">
        <v>571</v>
      </c>
      <c r="D22" t="inlineStr">
        <is>
          <t>France</t>
        </is>
      </c>
      <c r="E22" t="inlineStr">
        <is>
          <t>Male</t>
        </is>
      </c>
      <c r="F22" t="n">
        <v>26</v>
      </c>
      <c r="G22" t="n">
        <v>6</v>
      </c>
      <c r="H22" t="n">
        <v>239474.66</v>
      </c>
      <c r="I22" t="n">
        <v>1</v>
      </c>
      <c r="J22" t="n">
        <v>0</v>
      </c>
      <c r="K22" t="n">
        <v>1</v>
      </c>
      <c r="L22" t="n">
        <v>71646.19</v>
      </c>
      <c r="M22" t="n">
        <v>1</v>
      </c>
      <c r="O22">
        <f>IF($M22=1,$L22,"")</f>
        <v/>
      </c>
      <c r="P22">
        <f>IF($M22=0,$L22,"")</f>
        <v/>
      </c>
      <c r="R22">
        <f t="array" ref="R22">IFERROR(INDEX($L$2:$L$501,SMALL(IF($M$2:$M$501=1,ROW($M$2:$M$501)-1),ROW()-1)),"")</f>
        <v/>
      </c>
      <c r="S22">
        <f t="array" ref="S22">IFERROR(INDEX($L$2:$L$501,SMALL(IF($M$2:$M$501=0,ROW($M$2:$M$501)-1),ROW()-1)),"")</f>
        <v/>
      </c>
      <c r="U22">
        <f t="array" ref="U22">IFERROR(INDEX($C$2:$C$501,SMALL(IF($D$2:$D$501="France",ROW($D$2:$D$501)-1),ROW()-1)),"")</f>
        <v/>
      </c>
      <c r="V22">
        <f t="array" ref="V22">IFERROR(INDEX($C$2:$C$501,SMALL(IF($D$2:$D$501="Germany",ROW($D$2:$D$501)-1),ROW()-1)),"")</f>
        <v/>
      </c>
      <c r="W22">
        <f t="array" ref="W22">IFERROR(INDEX($C$2:$C$501,SMALL(IF($D$2:$D$501="Spain",ROW($D$2:$D$501)-1),ROW()-1)),"")</f>
        <v/>
      </c>
    </row>
    <row r="23">
      <c r="A23" t="n">
        <v>22</v>
      </c>
      <c r="B23" t="inlineStr">
        <is>
          <t>Taylor</t>
        </is>
      </c>
      <c r="C23" t="n">
        <v>528</v>
      </c>
      <c r="D23" t="inlineStr">
        <is>
          <t>Spain</t>
        </is>
      </c>
      <c r="E23" t="inlineStr">
        <is>
          <t>Female</t>
        </is>
      </c>
      <c r="F23" t="n">
        <v>90</v>
      </c>
      <c r="G23" t="n">
        <v>10</v>
      </c>
      <c r="H23" t="n">
        <v>192616.6</v>
      </c>
      <c r="I23" t="n">
        <v>4</v>
      </c>
      <c r="J23" t="n">
        <v>1</v>
      </c>
      <c r="K23" t="n">
        <v>0</v>
      </c>
      <c r="L23" t="n">
        <v>27413.39</v>
      </c>
      <c r="M23" t="n">
        <v>0</v>
      </c>
      <c r="O23">
        <f>IF($M23=1,$L23,"")</f>
        <v/>
      </c>
      <c r="P23">
        <f>IF($M23=0,$L23,"")</f>
        <v/>
      </c>
      <c r="R23">
        <f t="array" ref="R23">IFERROR(INDEX($L$2:$L$501,SMALL(IF($M$2:$M$501=1,ROW($M$2:$M$501)-1),ROW()-1)),"")</f>
        <v/>
      </c>
      <c r="S23">
        <f t="array" ref="S23">IFERROR(INDEX($L$2:$L$501,SMALL(IF($M$2:$M$501=0,ROW($M$2:$M$501)-1),ROW()-1)),"")</f>
        <v/>
      </c>
      <c r="U23">
        <f t="array" ref="U23">IFERROR(INDEX($C$2:$C$501,SMALL(IF($D$2:$D$501="France",ROW($D$2:$D$501)-1),ROW()-1)),"")</f>
        <v/>
      </c>
      <c r="V23">
        <f t="array" ref="V23">IFERROR(INDEX($C$2:$C$501,SMALL(IF($D$2:$D$501="Germany",ROW($D$2:$D$501)-1),ROW()-1)),"")</f>
        <v/>
      </c>
      <c r="W23">
        <f t="array" ref="W23">IFERROR(INDEX($C$2:$C$501,SMALL(IF($D$2:$D$501="Spain",ROW($D$2:$D$501)-1),ROW()-1)),"")</f>
        <v/>
      </c>
    </row>
    <row r="24">
      <c r="A24" t="n">
        <v>23</v>
      </c>
      <c r="B24" t="inlineStr">
        <is>
          <t>Moore</t>
        </is>
      </c>
      <c r="C24" t="n">
        <v>524</v>
      </c>
      <c r="D24" t="inlineStr">
        <is>
          <t>Spain</t>
        </is>
      </c>
      <c r="E24" t="inlineStr">
        <is>
          <t>Male</t>
        </is>
      </c>
      <c r="F24" t="n">
        <v>56</v>
      </c>
      <c r="G24" t="n">
        <v>7</v>
      </c>
      <c r="H24" t="n">
        <v>34050.82</v>
      </c>
      <c r="I24" t="n">
        <v>4</v>
      </c>
      <c r="J24" t="n">
        <v>0</v>
      </c>
      <c r="K24" t="n">
        <v>1</v>
      </c>
      <c r="L24" t="n">
        <v>130037.45</v>
      </c>
      <c r="M24" t="n">
        <v>1</v>
      </c>
      <c r="O24">
        <f>IF($M24=1,$L24,"")</f>
        <v/>
      </c>
      <c r="P24">
        <f>IF($M24=0,$L24,"")</f>
        <v/>
      </c>
      <c r="R24">
        <f t="array" ref="R24">IFERROR(INDEX($L$2:$L$501,SMALL(IF($M$2:$M$501=1,ROW($M$2:$M$501)-1),ROW()-1)),"")</f>
        <v/>
      </c>
      <c r="S24">
        <f t="array" ref="S24">IFERROR(INDEX($L$2:$L$501,SMALL(IF($M$2:$M$501=0,ROW($M$2:$M$501)-1),ROW()-1)),"")</f>
        <v/>
      </c>
      <c r="U24">
        <f t="array" ref="U24">IFERROR(INDEX($C$2:$C$501,SMALL(IF($D$2:$D$501="France",ROW($D$2:$D$501)-1),ROW()-1)),"")</f>
        <v/>
      </c>
      <c r="V24">
        <f t="array" ref="V24">IFERROR(INDEX($C$2:$C$501,SMALL(IF($D$2:$D$501="Germany",ROW($D$2:$D$501)-1),ROW()-1)),"")</f>
        <v/>
      </c>
      <c r="W24">
        <f t="array" ref="W24">IFERROR(INDEX($C$2:$C$501,SMALL(IF($D$2:$D$501="Spain",ROW($D$2:$D$501)-1),ROW()-1)),"")</f>
        <v/>
      </c>
    </row>
    <row r="25">
      <c r="A25" t="n">
        <v>24</v>
      </c>
      <c r="B25" t="inlineStr">
        <is>
          <t>Taylor</t>
        </is>
      </c>
      <c r="C25" t="n">
        <v>443</v>
      </c>
      <c r="D25" t="inlineStr">
        <is>
          <t>France</t>
        </is>
      </c>
      <c r="E25" t="inlineStr">
        <is>
          <t>Female</t>
        </is>
      </c>
      <c r="F25" t="n">
        <v>70</v>
      </c>
      <c r="G25" t="n">
        <v>0</v>
      </c>
      <c r="H25" t="n">
        <v>116986.77</v>
      </c>
      <c r="I25" t="n">
        <v>2</v>
      </c>
      <c r="J25" t="n">
        <v>0</v>
      </c>
      <c r="K25" t="n">
        <v>0</v>
      </c>
      <c r="L25" t="n">
        <v>16197.08</v>
      </c>
      <c r="M25" t="n">
        <v>0</v>
      </c>
      <c r="O25">
        <f>IF($M25=1,$L25,"")</f>
        <v/>
      </c>
      <c r="P25">
        <f>IF($M25=0,$L25,"")</f>
        <v/>
      </c>
      <c r="R25">
        <f t="array" ref="R25">IFERROR(INDEX($L$2:$L$501,SMALL(IF($M$2:$M$501=1,ROW($M$2:$M$501)-1),ROW()-1)),"")</f>
        <v/>
      </c>
      <c r="S25">
        <f t="array" ref="S25">IFERROR(INDEX($L$2:$L$501,SMALL(IF($M$2:$M$501=0,ROW($M$2:$M$501)-1),ROW()-1)),"")</f>
        <v/>
      </c>
      <c r="U25">
        <f t="array" ref="U25">IFERROR(INDEX($C$2:$C$501,SMALL(IF($D$2:$D$501="France",ROW($D$2:$D$501)-1),ROW()-1)),"")</f>
        <v/>
      </c>
      <c r="V25">
        <f t="array" ref="V25">IFERROR(INDEX($C$2:$C$501,SMALL(IF($D$2:$D$501="Germany",ROW($D$2:$D$501)-1),ROW()-1)),"")</f>
        <v/>
      </c>
      <c r="W25">
        <f t="array" ref="W25">IFERROR(INDEX($C$2:$C$501,SMALL(IF($D$2:$D$501="Spain",ROW($D$2:$D$501)-1),ROW()-1)),"")</f>
        <v/>
      </c>
    </row>
    <row r="26">
      <c r="A26" t="n">
        <v>25</v>
      </c>
      <c r="B26" t="inlineStr">
        <is>
          <t>Brown</t>
        </is>
      </c>
      <c r="C26" t="n">
        <v>464</v>
      </c>
      <c r="D26" t="inlineStr">
        <is>
          <t>Spain</t>
        </is>
      </c>
      <c r="E26" t="inlineStr">
        <is>
          <t>Female</t>
        </is>
      </c>
      <c r="F26" t="n">
        <v>81</v>
      </c>
      <c r="G26" t="n">
        <v>0</v>
      </c>
      <c r="H26" t="n">
        <v>242071.38</v>
      </c>
      <c r="I26" t="n">
        <v>2</v>
      </c>
      <c r="J26" t="n">
        <v>0</v>
      </c>
      <c r="K26" t="n">
        <v>0</v>
      </c>
      <c r="L26" t="n">
        <v>129312.08</v>
      </c>
      <c r="M26" t="n">
        <v>0</v>
      </c>
      <c r="O26">
        <f>IF($M26=1,$L26,"")</f>
        <v/>
      </c>
      <c r="P26">
        <f>IF($M26=0,$L26,"")</f>
        <v/>
      </c>
      <c r="R26">
        <f t="array" ref="R26">IFERROR(INDEX($L$2:$L$501,SMALL(IF($M$2:$M$501=1,ROW($M$2:$M$501)-1),ROW()-1)),"")</f>
        <v/>
      </c>
      <c r="S26">
        <f t="array" ref="S26">IFERROR(INDEX($L$2:$L$501,SMALL(IF($M$2:$M$501=0,ROW($M$2:$M$501)-1),ROW()-1)),"")</f>
        <v/>
      </c>
      <c r="U26">
        <f t="array" ref="U26">IFERROR(INDEX($C$2:$C$501,SMALL(IF($D$2:$D$501="France",ROW($D$2:$D$501)-1),ROW()-1)),"")</f>
        <v/>
      </c>
      <c r="V26">
        <f t="array" ref="V26">IFERROR(INDEX($C$2:$C$501,SMALL(IF($D$2:$D$501="Germany",ROW($D$2:$D$501)-1),ROW()-1)),"")</f>
        <v/>
      </c>
      <c r="W26">
        <f t="array" ref="W26">IFERROR(INDEX($C$2:$C$501,SMALL(IF($D$2:$D$501="Spain",ROW($D$2:$D$501)-1),ROW()-1)),"")</f>
        <v/>
      </c>
    </row>
    <row r="27">
      <c r="A27" t="n">
        <v>26</v>
      </c>
      <c r="B27" t="inlineStr">
        <is>
          <t>Jones</t>
        </is>
      </c>
      <c r="C27" t="n">
        <v>511</v>
      </c>
      <c r="D27" t="inlineStr">
        <is>
          <t>Spain</t>
        </is>
      </c>
      <c r="E27" t="inlineStr">
        <is>
          <t>Female</t>
        </is>
      </c>
      <c r="F27" t="n">
        <v>39</v>
      </c>
      <c r="G27" t="n">
        <v>6</v>
      </c>
      <c r="H27" t="n">
        <v>88252.39999999999</v>
      </c>
      <c r="I27" t="n">
        <v>2</v>
      </c>
      <c r="J27" t="n">
        <v>1</v>
      </c>
      <c r="K27" t="n">
        <v>1</v>
      </c>
      <c r="L27" t="n">
        <v>57083.95</v>
      </c>
      <c r="M27" t="n">
        <v>0</v>
      </c>
      <c r="O27">
        <f>IF($M27=1,$L27,"")</f>
        <v/>
      </c>
      <c r="P27">
        <f>IF($M27=0,$L27,"")</f>
        <v/>
      </c>
      <c r="R27">
        <f t="array" ref="R27">IFERROR(INDEX($L$2:$L$501,SMALL(IF($M$2:$M$501=1,ROW($M$2:$M$501)-1),ROW()-1)),"")</f>
        <v/>
      </c>
      <c r="S27">
        <f t="array" ref="S27">IFERROR(INDEX($L$2:$L$501,SMALL(IF($M$2:$M$501=0,ROW($M$2:$M$501)-1),ROW()-1)),"")</f>
        <v/>
      </c>
      <c r="U27">
        <f t="array" ref="U27">IFERROR(INDEX($C$2:$C$501,SMALL(IF($D$2:$D$501="France",ROW($D$2:$D$501)-1),ROW()-1)),"")</f>
        <v/>
      </c>
      <c r="V27">
        <f t="array" ref="V27">IFERROR(INDEX($C$2:$C$501,SMALL(IF($D$2:$D$501="Germany",ROW($D$2:$D$501)-1),ROW()-1)),"")</f>
        <v/>
      </c>
      <c r="W27">
        <f t="array" ref="W27">IFERROR(INDEX($C$2:$C$501,SMALL(IF($D$2:$D$501="Spain",ROW($D$2:$D$501)-1),ROW()-1)),"")</f>
        <v/>
      </c>
    </row>
    <row r="28">
      <c r="A28" t="n">
        <v>27</v>
      </c>
      <c r="B28" t="inlineStr">
        <is>
          <t>Smith</t>
        </is>
      </c>
      <c r="C28" t="n">
        <v>618</v>
      </c>
      <c r="D28" t="inlineStr">
        <is>
          <t>Germany</t>
        </is>
      </c>
      <c r="E28" t="inlineStr">
        <is>
          <t>Male</t>
        </is>
      </c>
      <c r="F28" t="n">
        <v>22</v>
      </c>
      <c r="G28" t="n">
        <v>4</v>
      </c>
      <c r="H28" t="n">
        <v>39874.14</v>
      </c>
      <c r="I28" t="n">
        <v>3</v>
      </c>
      <c r="J28" t="n">
        <v>1</v>
      </c>
      <c r="K28" t="n">
        <v>1</v>
      </c>
      <c r="L28" t="n">
        <v>137124.11</v>
      </c>
      <c r="M28" t="n">
        <v>1</v>
      </c>
      <c r="O28">
        <f>IF($M28=1,$L28,"")</f>
        <v/>
      </c>
      <c r="P28">
        <f>IF($M28=0,$L28,"")</f>
        <v/>
      </c>
      <c r="R28">
        <f t="array" ref="R28">IFERROR(INDEX($L$2:$L$501,SMALL(IF($M$2:$M$501=1,ROW($M$2:$M$501)-1),ROW()-1)),"")</f>
        <v/>
      </c>
      <c r="S28">
        <f t="array" ref="S28">IFERROR(INDEX($L$2:$L$501,SMALL(IF($M$2:$M$501=0,ROW($M$2:$M$501)-1),ROW()-1)),"")</f>
        <v/>
      </c>
      <c r="U28">
        <f t="array" ref="U28">IFERROR(INDEX($C$2:$C$501,SMALL(IF($D$2:$D$501="France",ROW($D$2:$D$501)-1),ROW()-1)),"")</f>
        <v/>
      </c>
      <c r="V28">
        <f t="array" ref="V28">IFERROR(INDEX($C$2:$C$501,SMALL(IF($D$2:$D$501="Germany",ROW($D$2:$D$501)-1),ROW()-1)),"")</f>
        <v/>
      </c>
      <c r="W28">
        <f t="array" ref="W28">IFERROR(INDEX($C$2:$C$501,SMALL(IF($D$2:$D$501="Spain",ROW($D$2:$D$501)-1),ROW()-1)),"")</f>
        <v/>
      </c>
    </row>
    <row r="29">
      <c r="A29" t="n">
        <v>28</v>
      </c>
      <c r="B29" t="inlineStr">
        <is>
          <t>Jones</t>
        </is>
      </c>
      <c r="C29" t="n">
        <v>574</v>
      </c>
      <c r="D29" t="inlineStr">
        <is>
          <t>France</t>
        </is>
      </c>
      <c r="E29" t="inlineStr">
        <is>
          <t>Male</t>
        </is>
      </c>
      <c r="F29" t="n">
        <v>49</v>
      </c>
      <c r="G29" t="n">
        <v>4</v>
      </c>
      <c r="H29" t="n">
        <v>47828.14</v>
      </c>
      <c r="I29" t="n">
        <v>3</v>
      </c>
      <c r="J29" t="n">
        <v>1</v>
      </c>
      <c r="K29" t="n">
        <v>0</v>
      </c>
      <c r="L29" t="n">
        <v>129087.2</v>
      </c>
      <c r="M29" t="n">
        <v>0</v>
      </c>
      <c r="O29">
        <f>IF($M29=1,$L29,"")</f>
        <v/>
      </c>
      <c r="P29">
        <f>IF($M29=0,$L29,"")</f>
        <v/>
      </c>
      <c r="R29">
        <f t="array" ref="R29">IFERROR(INDEX($L$2:$L$501,SMALL(IF($M$2:$M$501=1,ROW($M$2:$M$501)-1),ROW()-1)),"")</f>
        <v/>
      </c>
      <c r="S29">
        <f t="array" ref="S29">IFERROR(INDEX($L$2:$L$501,SMALL(IF($M$2:$M$501=0,ROW($M$2:$M$501)-1),ROW()-1)),"")</f>
        <v/>
      </c>
      <c r="U29">
        <f t="array" ref="U29">IFERROR(INDEX($C$2:$C$501,SMALL(IF($D$2:$D$501="France",ROW($D$2:$D$501)-1),ROW()-1)),"")</f>
        <v/>
      </c>
      <c r="V29">
        <f t="array" ref="V29">IFERROR(INDEX($C$2:$C$501,SMALL(IF($D$2:$D$501="Germany",ROW($D$2:$D$501)-1),ROW()-1)),"")</f>
        <v/>
      </c>
      <c r="W29">
        <f t="array" ref="W29">IFERROR(INDEX($C$2:$C$501,SMALL(IF($D$2:$D$501="Spain",ROW($D$2:$D$501)-1),ROW()-1)),"")</f>
        <v/>
      </c>
    </row>
    <row r="30">
      <c r="A30" t="n">
        <v>29</v>
      </c>
      <c r="B30" t="inlineStr">
        <is>
          <t>Davis</t>
        </is>
      </c>
      <c r="C30" t="n">
        <v>583</v>
      </c>
      <c r="D30" t="inlineStr">
        <is>
          <t>Spain</t>
        </is>
      </c>
      <c r="E30" t="inlineStr">
        <is>
          <t>Male</t>
        </is>
      </c>
      <c r="F30" t="n">
        <v>55</v>
      </c>
      <c r="G30" t="n">
        <v>10</v>
      </c>
      <c r="H30" t="n">
        <v>137337.08</v>
      </c>
      <c r="I30" t="n">
        <v>2</v>
      </c>
      <c r="J30" t="n">
        <v>0</v>
      </c>
      <c r="K30" t="n">
        <v>1</v>
      </c>
      <c r="L30" t="n">
        <v>107849.47</v>
      </c>
      <c r="M30" t="n">
        <v>1</v>
      </c>
      <c r="O30">
        <f>IF($M30=1,$L30,"")</f>
        <v/>
      </c>
      <c r="P30">
        <f>IF($M30=0,$L30,"")</f>
        <v/>
      </c>
      <c r="R30">
        <f t="array" ref="R30">IFERROR(INDEX($L$2:$L$501,SMALL(IF($M$2:$M$501=1,ROW($M$2:$M$501)-1),ROW()-1)),"")</f>
        <v/>
      </c>
      <c r="S30">
        <f t="array" ref="S30">IFERROR(INDEX($L$2:$L$501,SMALL(IF($M$2:$M$501=0,ROW($M$2:$M$501)-1),ROW()-1)),"")</f>
        <v/>
      </c>
      <c r="U30">
        <f t="array" ref="U30">IFERROR(INDEX($C$2:$C$501,SMALL(IF($D$2:$D$501="France",ROW($D$2:$D$501)-1),ROW()-1)),"")</f>
        <v/>
      </c>
      <c r="V30">
        <f t="array" ref="V30">IFERROR(INDEX($C$2:$C$501,SMALL(IF($D$2:$D$501="Germany",ROW($D$2:$D$501)-1),ROW()-1)),"")</f>
        <v/>
      </c>
      <c r="W30">
        <f t="array" ref="W30">IFERROR(INDEX($C$2:$C$501,SMALL(IF($D$2:$D$501="Spain",ROW($D$2:$D$501)-1),ROW()-1)),"")</f>
        <v/>
      </c>
    </row>
    <row r="31">
      <c r="A31" t="n">
        <v>30</v>
      </c>
      <c r="B31" t="inlineStr">
        <is>
          <t>Smith</t>
        </is>
      </c>
      <c r="C31" t="n">
        <v>686</v>
      </c>
      <c r="D31" t="inlineStr">
        <is>
          <t>France</t>
        </is>
      </c>
      <c r="E31" t="inlineStr">
        <is>
          <t>Female</t>
        </is>
      </c>
      <c r="F31" t="n">
        <v>25</v>
      </c>
      <c r="G31" t="n">
        <v>5</v>
      </c>
      <c r="H31" t="n">
        <v>5425.45</v>
      </c>
      <c r="I31" t="n">
        <v>4</v>
      </c>
      <c r="J31" t="n">
        <v>1</v>
      </c>
      <c r="K31" t="n">
        <v>0</v>
      </c>
      <c r="L31" t="n">
        <v>82076.7</v>
      </c>
      <c r="M31" t="n">
        <v>1</v>
      </c>
      <c r="O31">
        <f>IF($M31=1,$L31,"")</f>
        <v/>
      </c>
      <c r="P31">
        <f>IF($M31=0,$L31,"")</f>
        <v/>
      </c>
      <c r="R31">
        <f t="array" ref="R31">IFERROR(INDEX($L$2:$L$501,SMALL(IF($M$2:$M$501=1,ROW($M$2:$M$501)-1),ROW()-1)),"")</f>
        <v/>
      </c>
      <c r="S31">
        <f t="array" ref="S31">IFERROR(INDEX($L$2:$L$501,SMALL(IF($M$2:$M$501=0,ROW($M$2:$M$501)-1),ROW()-1)),"")</f>
        <v/>
      </c>
      <c r="U31">
        <f t="array" ref="U31">IFERROR(INDEX($C$2:$C$501,SMALL(IF($D$2:$D$501="France",ROW($D$2:$D$501)-1),ROW()-1)),"")</f>
        <v/>
      </c>
      <c r="V31">
        <f t="array" ref="V31">IFERROR(INDEX($C$2:$C$501,SMALL(IF($D$2:$D$501="Germany",ROW($D$2:$D$501)-1),ROW()-1)),"")</f>
        <v/>
      </c>
      <c r="W31">
        <f t="array" ref="W31">IFERROR(INDEX($C$2:$C$501,SMALL(IF($D$2:$D$501="Spain",ROW($D$2:$D$501)-1),ROW()-1)),"")</f>
        <v/>
      </c>
    </row>
    <row r="32">
      <c r="A32" t="n">
        <v>31</v>
      </c>
      <c r="B32" t="inlineStr">
        <is>
          <t>Williams</t>
        </is>
      </c>
      <c r="C32" t="n">
        <v>416</v>
      </c>
      <c r="D32" t="inlineStr">
        <is>
          <t>Germany</t>
        </is>
      </c>
      <c r="E32" t="inlineStr">
        <is>
          <t>Male</t>
        </is>
      </c>
      <c r="F32" t="n">
        <v>40</v>
      </c>
      <c r="G32" t="n">
        <v>1</v>
      </c>
      <c r="H32" t="n">
        <v>192565.36</v>
      </c>
      <c r="I32" t="n">
        <v>3</v>
      </c>
      <c r="J32" t="n">
        <v>0</v>
      </c>
      <c r="K32" t="n">
        <v>0</v>
      </c>
      <c r="L32" t="n">
        <v>106833.18</v>
      </c>
      <c r="M32" t="n">
        <v>1</v>
      </c>
      <c r="O32">
        <f>IF($M32=1,$L32,"")</f>
        <v/>
      </c>
      <c r="P32">
        <f>IF($M32=0,$L32,"")</f>
        <v/>
      </c>
      <c r="R32">
        <f t="array" ref="R32">IFERROR(INDEX($L$2:$L$501,SMALL(IF($M$2:$M$501=1,ROW($M$2:$M$501)-1),ROW()-1)),"")</f>
        <v/>
      </c>
      <c r="S32">
        <f t="array" ref="S32">IFERROR(INDEX($L$2:$L$501,SMALL(IF($M$2:$M$501=0,ROW($M$2:$M$501)-1),ROW()-1)),"")</f>
        <v/>
      </c>
      <c r="U32">
        <f t="array" ref="U32">IFERROR(INDEX($C$2:$C$501,SMALL(IF($D$2:$D$501="France",ROW($D$2:$D$501)-1),ROW()-1)),"")</f>
        <v/>
      </c>
      <c r="V32">
        <f t="array" ref="V32">IFERROR(INDEX($C$2:$C$501,SMALL(IF($D$2:$D$501="Germany",ROW($D$2:$D$501)-1),ROW()-1)),"")</f>
        <v/>
      </c>
      <c r="W32">
        <f t="array" ref="W32">IFERROR(INDEX($C$2:$C$501,SMALL(IF($D$2:$D$501="Spain",ROW($D$2:$D$501)-1),ROW()-1)),"")</f>
        <v/>
      </c>
    </row>
    <row r="33">
      <c r="A33" t="n">
        <v>32</v>
      </c>
      <c r="B33" t="inlineStr">
        <is>
          <t>Jones</t>
        </is>
      </c>
      <c r="C33" t="n">
        <v>806</v>
      </c>
      <c r="D33" t="inlineStr">
        <is>
          <t>Spain</t>
        </is>
      </c>
      <c r="E33" t="inlineStr">
        <is>
          <t>Female</t>
        </is>
      </c>
      <c r="F33" t="n">
        <v>60</v>
      </c>
      <c r="G33" t="n">
        <v>10</v>
      </c>
      <c r="H33" t="n">
        <v>98142.25999999999</v>
      </c>
      <c r="I33" t="n">
        <v>4</v>
      </c>
      <c r="J33" t="n">
        <v>0</v>
      </c>
      <c r="K33" t="n">
        <v>1</v>
      </c>
      <c r="L33" t="n">
        <v>88655.49000000001</v>
      </c>
      <c r="M33" t="n">
        <v>1</v>
      </c>
      <c r="O33">
        <f>IF($M33=1,$L33,"")</f>
        <v/>
      </c>
      <c r="P33">
        <f>IF($M33=0,$L33,"")</f>
        <v/>
      </c>
      <c r="R33">
        <f t="array" ref="R33">IFERROR(INDEX($L$2:$L$501,SMALL(IF($M$2:$M$501=1,ROW($M$2:$M$501)-1),ROW()-1)),"")</f>
        <v/>
      </c>
      <c r="S33">
        <f t="array" ref="S33">IFERROR(INDEX($L$2:$L$501,SMALL(IF($M$2:$M$501=0,ROW($M$2:$M$501)-1),ROW()-1)),"")</f>
        <v/>
      </c>
      <c r="U33">
        <f t="array" ref="U33">IFERROR(INDEX($C$2:$C$501,SMALL(IF($D$2:$D$501="France",ROW($D$2:$D$501)-1),ROW()-1)),"")</f>
        <v/>
      </c>
      <c r="V33">
        <f t="array" ref="V33">IFERROR(INDEX($C$2:$C$501,SMALL(IF($D$2:$D$501="Germany",ROW($D$2:$D$501)-1),ROW()-1)),"")</f>
        <v/>
      </c>
      <c r="W33">
        <f t="array" ref="W33">IFERROR(INDEX($C$2:$C$501,SMALL(IF($D$2:$D$501="Spain",ROW($D$2:$D$501)-1),ROW()-1)),"")</f>
        <v/>
      </c>
    </row>
    <row r="34">
      <c r="A34" t="n">
        <v>33</v>
      </c>
      <c r="B34" t="inlineStr">
        <is>
          <t>Moore</t>
        </is>
      </c>
      <c r="C34" t="n">
        <v>849</v>
      </c>
      <c r="D34" t="inlineStr">
        <is>
          <t>France</t>
        </is>
      </c>
      <c r="E34" t="inlineStr">
        <is>
          <t>Female</t>
        </is>
      </c>
      <c r="F34" t="n">
        <v>77</v>
      </c>
      <c r="G34" t="n">
        <v>2</v>
      </c>
      <c r="H34" t="n">
        <v>55839.55</v>
      </c>
      <c r="I34" t="n">
        <v>1</v>
      </c>
      <c r="J34" t="n">
        <v>1</v>
      </c>
      <c r="K34" t="n">
        <v>1</v>
      </c>
      <c r="L34" t="n">
        <v>45305.66</v>
      </c>
      <c r="M34" t="n">
        <v>1</v>
      </c>
      <c r="O34">
        <f>IF($M34=1,$L34,"")</f>
        <v/>
      </c>
      <c r="P34">
        <f>IF($M34=0,$L34,"")</f>
        <v/>
      </c>
      <c r="R34">
        <f t="array" ref="R34">IFERROR(INDEX($L$2:$L$501,SMALL(IF($M$2:$M$501=1,ROW($M$2:$M$501)-1),ROW()-1)),"")</f>
        <v/>
      </c>
      <c r="S34">
        <f t="array" ref="S34">IFERROR(INDEX($L$2:$L$501,SMALL(IF($M$2:$M$501=0,ROW($M$2:$M$501)-1),ROW()-1)),"")</f>
        <v/>
      </c>
      <c r="U34">
        <f t="array" ref="U34">IFERROR(INDEX($C$2:$C$501,SMALL(IF($D$2:$D$501="France",ROW($D$2:$D$501)-1),ROW()-1)),"")</f>
        <v/>
      </c>
      <c r="V34">
        <f t="array" ref="V34">IFERROR(INDEX($C$2:$C$501,SMALL(IF($D$2:$D$501="Germany",ROW($D$2:$D$501)-1),ROW()-1)),"")</f>
        <v/>
      </c>
      <c r="W34">
        <f t="array" ref="W34">IFERROR(INDEX($C$2:$C$501,SMALL(IF($D$2:$D$501="Spain",ROW($D$2:$D$501)-1),ROW()-1)),"")</f>
        <v/>
      </c>
    </row>
    <row r="35">
      <c r="A35" t="n">
        <v>34</v>
      </c>
      <c r="B35" t="inlineStr">
        <is>
          <t>Johnson</t>
        </is>
      </c>
      <c r="C35" t="n">
        <v>475</v>
      </c>
      <c r="D35" t="inlineStr">
        <is>
          <t>Spain</t>
        </is>
      </c>
      <c r="E35" t="inlineStr">
        <is>
          <t>Male</t>
        </is>
      </c>
      <c r="F35" t="n">
        <v>72</v>
      </c>
      <c r="G35" t="n">
        <v>6</v>
      </c>
      <c r="H35" t="n">
        <v>72899.17</v>
      </c>
      <c r="I35" t="n">
        <v>1</v>
      </c>
      <c r="J35" t="n">
        <v>0</v>
      </c>
      <c r="K35" t="n">
        <v>0</v>
      </c>
      <c r="L35" t="n">
        <v>90761.77</v>
      </c>
      <c r="M35" t="n">
        <v>0</v>
      </c>
      <c r="O35">
        <f>IF($M35=1,$L35,"")</f>
        <v/>
      </c>
      <c r="P35">
        <f>IF($M35=0,$L35,"")</f>
        <v/>
      </c>
      <c r="R35">
        <f t="array" ref="R35">IFERROR(INDEX($L$2:$L$501,SMALL(IF($M$2:$M$501=1,ROW($M$2:$M$501)-1),ROW()-1)),"")</f>
        <v/>
      </c>
      <c r="S35">
        <f t="array" ref="S35">IFERROR(INDEX($L$2:$L$501,SMALL(IF($M$2:$M$501=0,ROW($M$2:$M$501)-1),ROW()-1)),"")</f>
        <v/>
      </c>
      <c r="U35">
        <f t="array" ref="U35">IFERROR(INDEX($C$2:$C$501,SMALL(IF($D$2:$D$501="France",ROW($D$2:$D$501)-1),ROW()-1)),"")</f>
        <v/>
      </c>
      <c r="V35">
        <f t="array" ref="V35">IFERROR(INDEX($C$2:$C$501,SMALL(IF($D$2:$D$501="Germany",ROW($D$2:$D$501)-1),ROW()-1)),"")</f>
        <v/>
      </c>
      <c r="W35">
        <f t="array" ref="W35">IFERROR(INDEX($C$2:$C$501,SMALL(IF($D$2:$D$501="Spain",ROW($D$2:$D$501)-1),ROW()-1)),"")</f>
        <v/>
      </c>
    </row>
    <row r="36">
      <c r="A36" t="n">
        <v>35</v>
      </c>
      <c r="B36" t="inlineStr">
        <is>
          <t>Jones</t>
        </is>
      </c>
      <c r="C36" t="n">
        <v>488</v>
      </c>
      <c r="D36" t="inlineStr">
        <is>
          <t>France</t>
        </is>
      </c>
      <c r="E36" t="inlineStr">
        <is>
          <t>Female</t>
        </is>
      </c>
      <c r="F36" t="n">
        <v>91</v>
      </c>
      <c r="G36" t="n">
        <v>8</v>
      </c>
      <c r="H36" t="n">
        <v>200786.02</v>
      </c>
      <c r="I36" t="n">
        <v>1</v>
      </c>
      <c r="J36" t="n">
        <v>0</v>
      </c>
      <c r="K36" t="n">
        <v>0</v>
      </c>
      <c r="L36" t="n">
        <v>128936.13</v>
      </c>
      <c r="M36" t="n">
        <v>1</v>
      </c>
      <c r="O36">
        <f>IF($M36=1,$L36,"")</f>
        <v/>
      </c>
      <c r="P36">
        <f>IF($M36=0,$L36,"")</f>
        <v/>
      </c>
      <c r="R36">
        <f t="array" ref="R36">IFERROR(INDEX($L$2:$L$501,SMALL(IF($M$2:$M$501=1,ROW($M$2:$M$501)-1),ROW()-1)),"")</f>
        <v/>
      </c>
      <c r="S36">
        <f t="array" ref="S36">IFERROR(INDEX($L$2:$L$501,SMALL(IF($M$2:$M$501=0,ROW($M$2:$M$501)-1),ROW()-1)),"")</f>
        <v/>
      </c>
      <c r="U36">
        <f t="array" ref="U36">IFERROR(INDEX($C$2:$C$501,SMALL(IF($D$2:$D$501="France",ROW($D$2:$D$501)-1),ROW()-1)),"")</f>
        <v/>
      </c>
      <c r="V36">
        <f t="array" ref="V36">IFERROR(INDEX($C$2:$C$501,SMALL(IF($D$2:$D$501="Germany",ROW($D$2:$D$501)-1),ROW()-1)),"")</f>
        <v/>
      </c>
      <c r="W36">
        <f t="array" ref="W36">IFERROR(INDEX($C$2:$C$501,SMALL(IF($D$2:$D$501="Spain",ROW($D$2:$D$501)-1),ROW()-1)),"")</f>
        <v/>
      </c>
    </row>
    <row r="37">
      <c r="A37" t="n">
        <v>36</v>
      </c>
      <c r="B37" t="inlineStr">
        <is>
          <t>Jones</t>
        </is>
      </c>
      <c r="C37" t="n">
        <v>462</v>
      </c>
      <c r="D37" t="inlineStr">
        <is>
          <t>Germany</t>
        </is>
      </c>
      <c r="E37" t="inlineStr">
        <is>
          <t>Male</t>
        </is>
      </c>
      <c r="F37" t="n">
        <v>69</v>
      </c>
      <c r="G37" t="n">
        <v>2</v>
      </c>
      <c r="H37" t="n">
        <v>9295.290000000001</v>
      </c>
      <c r="I37" t="n">
        <v>3</v>
      </c>
      <c r="J37" t="n">
        <v>0</v>
      </c>
      <c r="K37" t="n">
        <v>0</v>
      </c>
      <c r="L37" t="n">
        <v>39491.23</v>
      </c>
      <c r="M37" t="n">
        <v>1</v>
      </c>
      <c r="O37">
        <f>IF($M37=1,$L37,"")</f>
        <v/>
      </c>
      <c r="P37">
        <f>IF($M37=0,$L37,"")</f>
        <v/>
      </c>
      <c r="R37">
        <f t="array" ref="R37">IFERROR(INDEX($L$2:$L$501,SMALL(IF($M$2:$M$501=1,ROW($M$2:$M$501)-1),ROW()-1)),"")</f>
        <v/>
      </c>
      <c r="S37">
        <f t="array" ref="S37">IFERROR(INDEX($L$2:$L$501,SMALL(IF($M$2:$M$501=0,ROW($M$2:$M$501)-1),ROW()-1)),"")</f>
        <v/>
      </c>
      <c r="U37">
        <f t="array" ref="U37">IFERROR(INDEX($C$2:$C$501,SMALL(IF($D$2:$D$501="France",ROW($D$2:$D$501)-1),ROW()-1)),"")</f>
        <v/>
      </c>
      <c r="V37">
        <f t="array" ref="V37">IFERROR(INDEX($C$2:$C$501,SMALL(IF($D$2:$D$501="Germany",ROW($D$2:$D$501)-1),ROW()-1)),"")</f>
        <v/>
      </c>
      <c r="W37">
        <f t="array" ref="W37">IFERROR(INDEX($C$2:$C$501,SMALL(IF($D$2:$D$501="Spain",ROW($D$2:$D$501)-1),ROW()-1)),"")</f>
        <v/>
      </c>
    </row>
    <row r="38">
      <c r="A38" t="n">
        <v>37</v>
      </c>
      <c r="B38" t="inlineStr">
        <is>
          <t>Jones</t>
        </is>
      </c>
      <c r="C38" t="n">
        <v>568</v>
      </c>
      <c r="D38" t="inlineStr">
        <is>
          <t>Germany</t>
        </is>
      </c>
      <c r="E38" t="inlineStr">
        <is>
          <t>Female</t>
        </is>
      </c>
      <c r="F38" t="n">
        <v>41</v>
      </c>
      <c r="G38" t="n">
        <v>10</v>
      </c>
      <c r="H38" t="n">
        <v>192830.21</v>
      </c>
      <c r="I38" t="n">
        <v>2</v>
      </c>
      <c r="J38" t="n">
        <v>0</v>
      </c>
      <c r="K38" t="n">
        <v>0</v>
      </c>
      <c r="L38" t="n">
        <v>82076.7</v>
      </c>
      <c r="M38" t="n">
        <v>0</v>
      </c>
      <c r="O38">
        <f>IF($M38=1,$L38,"")</f>
        <v/>
      </c>
      <c r="P38">
        <f>IF($M38=0,$L38,"")</f>
        <v/>
      </c>
      <c r="R38">
        <f t="array" ref="R38">IFERROR(INDEX($L$2:$L$501,SMALL(IF($M$2:$M$501=1,ROW($M$2:$M$501)-1),ROW()-1)),"")</f>
        <v/>
      </c>
      <c r="S38">
        <f t="array" ref="S38">IFERROR(INDEX($L$2:$L$501,SMALL(IF($M$2:$M$501=0,ROW($M$2:$M$501)-1),ROW()-1)),"")</f>
        <v/>
      </c>
      <c r="U38">
        <f t="array" ref="U38">IFERROR(INDEX($C$2:$C$501,SMALL(IF($D$2:$D$501="France",ROW($D$2:$D$501)-1),ROW()-1)),"")</f>
        <v/>
      </c>
      <c r="V38">
        <f t="array" ref="V38">IFERROR(INDEX($C$2:$C$501,SMALL(IF($D$2:$D$501="Germany",ROW($D$2:$D$501)-1),ROW()-1)),"")</f>
        <v/>
      </c>
      <c r="W38">
        <f t="array" ref="W38">IFERROR(INDEX($C$2:$C$501,SMALL(IF($D$2:$D$501="Spain",ROW($D$2:$D$501)-1),ROW()-1)),"")</f>
        <v/>
      </c>
    </row>
    <row r="39">
      <c r="A39" t="n">
        <v>38</v>
      </c>
      <c r="B39" t="inlineStr">
        <is>
          <t>Wilson</t>
        </is>
      </c>
      <c r="C39" t="n">
        <v>505</v>
      </c>
      <c r="D39" t="inlineStr">
        <is>
          <t>Spain</t>
        </is>
      </c>
      <c r="E39" t="inlineStr">
        <is>
          <t>Male</t>
        </is>
      </c>
      <c r="F39" t="n">
        <v>43</v>
      </c>
      <c r="G39" t="n">
        <v>9</v>
      </c>
      <c r="H39" t="n">
        <v>190574.23</v>
      </c>
      <c r="I39" t="n">
        <v>1</v>
      </c>
      <c r="J39" t="n">
        <v>1</v>
      </c>
      <c r="K39" t="n">
        <v>0</v>
      </c>
      <c r="L39" t="n">
        <v>22363.52</v>
      </c>
      <c r="M39" t="n">
        <v>0</v>
      </c>
      <c r="O39">
        <f>IF($M39=1,$L39,"")</f>
        <v/>
      </c>
      <c r="P39">
        <f>IF($M39=0,$L39,"")</f>
        <v/>
      </c>
      <c r="R39">
        <f t="array" ref="R39">IFERROR(INDEX($L$2:$L$501,SMALL(IF($M$2:$M$501=1,ROW($M$2:$M$501)-1),ROW()-1)),"")</f>
        <v/>
      </c>
      <c r="S39">
        <f t="array" ref="S39">IFERROR(INDEX($L$2:$L$501,SMALL(IF($M$2:$M$501=0,ROW($M$2:$M$501)-1),ROW()-1)),"")</f>
        <v/>
      </c>
      <c r="U39">
        <f t="array" ref="U39">IFERROR(INDEX($C$2:$C$501,SMALL(IF($D$2:$D$501="France",ROW($D$2:$D$501)-1),ROW()-1)),"")</f>
        <v/>
      </c>
      <c r="V39">
        <f t="array" ref="V39">IFERROR(INDEX($C$2:$C$501,SMALL(IF($D$2:$D$501="Germany",ROW($D$2:$D$501)-1),ROW()-1)),"")</f>
        <v/>
      </c>
      <c r="W39">
        <f t="array" ref="W39">IFERROR(INDEX($C$2:$C$501,SMALL(IF($D$2:$D$501="Spain",ROW($D$2:$D$501)-1),ROW()-1)),"")</f>
        <v/>
      </c>
    </row>
    <row r="40">
      <c r="A40" t="n">
        <v>39</v>
      </c>
      <c r="B40" t="inlineStr">
        <is>
          <t>Smith</t>
        </is>
      </c>
      <c r="C40" t="n">
        <v>534</v>
      </c>
      <c r="D40" t="inlineStr">
        <is>
          <t>Spain</t>
        </is>
      </c>
      <c r="E40" t="inlineStr">
        <is>
          <t>Female</t>
        </is>
      </c>
      <c r="F40" t="n">
        <v>75</v>
      </c>
      <c r="G40" t="n">
        <v>9</v>
      </c>
      <c r="H40" t="n">
        <v>20385.3</v>
      </c>
      <c r="I40" t="n">
        <v>1</v>
      </c>
      <c r="J40" t="n">
        <v>0</v>
      </c>
      <c r="K40" t="n">
        <v>0</v>
      </c>
      <c r="L40" t="n">
        <v>118972.35</v>
      </c>
      <c r="M40" t="n">
        <v>1</v>
      </c>
      <c r="O40">
        <f>IF($M40=1,$L40,"")</f>
        <v/>
      </c>
      <c r="P40">
        <f>IF($M40=0,$L40,"")</f>
        <v/>
      </c>
      <c r="R40">
        <f t="array" ref="R40">IFERROR(INDEX($L$2:$L$501,SMALL(IF($M$2:$M$501=1,ROW($M$2:$M$501)-1),ROW()-1)),"")</f>
        <v/>
      </c>
      <c r="S40">
        <f t="array" ref="S40">IFERROR(INDEX($L$2:$L$501,SMALL(IF($M$2:$M$501=0,ROW($M$2:$M$501)-1),ROW()-1)),"")</f>
        <v/>
      </c>
      <c r="U40">
        <f t="array" ref="U40">IFERROR(INDEX($C$2:$C$501,SMALL(IF($D$2:$D$501="France",ROW($D$2:$D$501)-1),ROW()-1)),"")</f>
        <v/>
      </c>
      <c r="V40">
        <f t="array" ref="V40">IFERROR(INDEX($C$2:$C$501,SMALL(IF($D$2:$D$501="Germany",ROW($D$2:$D$501)-1),ROW()-1)),"")</f>
        <v/>
      </c>
      <c r="W40">
        <f t="array" ref="W40">IFERROR(INDEX($C$2:$C$501,SMALL(IF($D$2:$D$501="Spain",ROW($D$2:$D$501)-1),ROW()-1)),"")</f>
        <v/>
      </c>
    </row>
    <row r="41">
      <c r="A41" t="n">
        <v>40</v>
      </c>
      <c r="B41" t="inlineStr">
        <is>
          <t>Johnson</t>
        </is>
      </c>
      <c r="C41" t="n">
        <v>470</v>
      </c>
      <c r="D41" t="inlineStr">
        <is>
          <t>France</t>
        </is>
      </c>
      <c r="E41" t="inlineStr">
        <is>
          <t>Female</t>
        </is>
      </c>
      <c r="F41" t="n">
        <v>87</v>
      </c>
      <c r="G41" t="n">
        <v>5</v>
      </c>
      <c r="H41" t="n">
        <v>207759.1</v>
      </c>
      <c r="I41" t="n">
        <v>4</v>
      </c>
      <c r="J41" t="n">
        <v>0</v>
      </c>
      <c r="K41" t="n">
        <v>0</v>
      </c>
      <c r="L41" t="n">
        <v>23908.03</v>
      </c>
      <c r="M41" t="n">
        <v>0</v>
      </c>
      <c r="O41">
        <f>IF($M41=1,$L41,"")</f>
        <v/>
      </c>
      <c r="P41">
        <f>IF($M41=0,$L41,"")</f>
        <v/>
      </c>
      <c r="R41">
        <f t="array" ref="R41">IFERROR(INDEX($L$2:$L$501,SMALL(IF($M$2:$M$501=1,ROW($M$2:$M$501)-1),ROW()-1)),"")</f>
        <v/>
      </c>
      <c r="S41">
        <f t="array" ref="S41">IFERROR(INDEX($L$2:$L$501,SMALL(IF($M$2:$M$501=0,ROW($M$2:$M$501)-1),ROW()-1)),"")</f>
        <v/>
      </c>
      <c r="U41">
        <f t="array" ref="U41">IFERROR(INDEX($C$2:$C$501,SMALL(IF($D$2:$D$501="France",ROW($D$2:$D$501)-1),ROW()-1)),"")</f>
        <v/>
      </c>
      <c r="V41">
        <f t="array" ref="V41">IFERROR(INDEX($C$2:$C$501,SMALL(IF($D$2:$D$501="Germany",ROW($D$2:$D$501)-1),ROW()-1)),"")</f>
        <v/>
      </c>
      <c r="W41">
        <f t="array" ref="W41">IFERROR(INDEX($C$2:$C$501,SMALL(IF($D$2:$D$501="Spain",ROW($D$2:$D$501)-1),ROW()-1)),"")</f>
        <v/>
      </c>
    </row>
    <row r="42">
      <c r="A42" t="n">
        <v>41</v>
      </c>
      <c r="B42" t="inlineStr">
        <is>
          <t>Taylor</t>
        </is>
      </c>
      <c r="C42" t="n">
        <v>671</v>
      </c>
      <c r="D42" t="inlineStr">
        <is>
          <t>Spain</t>
        </is>
      </c>
      <c r="E42" t="inlineStr">
        <is>
          <t>Male</t>
        </is>
      </c>
      <c r="F42" t="n">
        <v>63</v>
      </c>
      <c r="G42" t="n">
        <v>5</v>
      </c>
      <c r="H42" t="n">
        <v>43010.54</v>
      </c>
      <c r="I42" t="n">
        <v>3</v>
      </c>
      <c r="J42" t="n">
        <v>0</v>
      </c>
      <c r="K42" t="n">
        <v>1</v>
      </c>
      <c r="L42" t="n">
        <v>82076.7</v>
      </c>
      <c r="M42" t="n">
        <v>1</v>
      </c>
      <c r="O42">
        <f>IF($M42=1,$L42,"")</f>
        <v/>
      </c>
      <c r="P42">
        <f>IF($M42=0,$L42,"")</f>
        <v/>
      </c>
      <c r="R42">
        <f t="array" ref="R42">IFERROR(INDEX($L$2:$L$501,SMALL(IF($M$2:$M$501=1,ROW($M$2:$M$501)-1),ROW()-1)),"")</f>
        <v/>
      </c>
      <c r="S42">
        <f t="array" ref="S42">IFERROR(INDEX($L$2:$L$501,SMALL(IF($M$2:$M$501=0,ROW($M$2:$M$501)-1),ROW()-1)),"")</f>
        <v/>
      </c>
      <c r="U42">
        <f t="array" ref="U42">IFERROR(INDEX($C$2:$C$501,SMALL(IF($D$2:$D$501="France",ROW($D$2:$D$501)-1),ROW()-1)),"")</f>
        <v/>
      </c>
      <c r="V42">
        <f t="array" ref="V42">IFERROR(INDEX($C$2:$C$501,SMALL(IF($D$2:$D$501="Germany",ROW($D$2:$D$501)-1),ROW()-1)),"")</f>
        <v/>
      </c>
      <c r="W42">
        <f t="array" ref="W42">IFERROR(INDEX($C$2:$C$501,SMALL(IF($D$2:$D$501="Spain",ROW($D$2:$D$501)-1),ROW()-1)),"")</f>
        <v/>
      </c>
    </row>
    <row r="43">
      <c r="A43" t="n">
        <v>42</v>
      </c>
      <c r="B43" t="inlineStr">
        <is>
          <t>Taylor</t>
        </is>
      </c>
      <c r="C43" t="n">
        <v>798</v>
      </c>
      <c r="D43" t="inlineStr">
        <is>
          <t>Germany</t>
        </is>
      </c>
      <c r="E43" t="inlineStr">
        <is>
          <t>Male</t>
        </is>
      </c>
      <c r="F43" t="n">
        <v>69</v>
      </c>
      <c r="G43" t="n">
        <v>8</v>
      </c>
      <c r="H43" t="n">
        <v>34108.09</v>
      </c>
      <c r="I43" t="n">
        <v>3</v>
      </c>
      <c r="J43" t="n">
        <v>0</v>
      </c>
      <c r="K43" t="n">
        <v>0</v>
      </c>
      <c r="L43" t="n">
        <v>81519.78</v>
      </c>
      <c r="M43" t="n">
        <v>0</v>
      </c>
      <c r="O43">
        <f>IF($M43=1,$L43,"")</f>
        <v/>
      </c>
      <c r="P43">
        <f>IF($M43=0,$L43,"")</f>
        <v/>
      </c>
      <c r="R43">
        <f t="array" ref="R43">IFERROR(INDEX($L$2:$L$501,SMALL(IF($M$2:$M$501=1,ROW($M$2:$M$501)-1),ROW()-1)),"")</f>
        <v/>
      </c>
      <c r="S43">
        <f t="array" ref="S43">IFERROR(INDEX($L$2:$L$501,SMALL(IF($M$2:$M$501=0,ROW($M$2:$M$501)-1),ROW()-1)),"")</f>
        <v/>
      </c>
      <c r="U43">
        <f t="array" ref="U43">IFERROR(INDEX($C$2:$C$501,SMALL(IF($D$2:$D$501="France",ROW($D$2:$D$501)-1),ROW()-1)),"")</f>
        <v/>
      </c>
      <c r="V43">
        <f t="array" ref="V43">IFERROR(INDEX($C$2:$C$501,SMALL(IF($D$2:$D$501="Germany",ROW($D$2:$D$501)-1),ROW()-1)),"")</f>
        <v/>
      </c>
      <c r="W43">
        <f t="array" ref="W43">IFERROR(INDEX($C$2:$C$501,SMALL(IF($D$2:$D$501="Spain",ROW($D$2:$D$501)-1),ROW()-1)),"")</f>
        <v/>
      </c>
    </row>
    <row r="44">
      <c r="A44" t="n">
        <v>43</v>
      </c>
      <c r="B44" t="inlineStr">
        <is>
          <t>Smith</t>
        </is>
      </c>
      <c r="C44" t="n">
        <v>547</v>
      </c>
      <c r="D44" t="inlineStr">
        <is>
          <t>Germany</t>
        </is>
      </c>
      <c r="E44" t="inlineStr">
        <is>
          <t>Female</t>
        </is>
      </c>
      <c r="F44" t="n">
        <v>77</v>
      </c>
      <c r="G44" t="n">
        <v>5</v>
      </c>
      <c r="H44" t="n">
        <v>41600.3</v>
      </c>
      <c r="I44" t="n">
        <v>4</v>
      </c>
      <c r="J44" t="n">
        <v>0</v>
      </c>
      <c r="K44" t="n">
        <v>0</v>
      </c>
      <c r="L44" t="n">
        <v>48255.32</v>
      </c>
      <c r="M44" t="n">
        <v>1</v>
      </c>
      <c r="O44">
        <f>IF($M44=1,$L44,"")</f>
        <v/>
      </c>
      <c r="P44">
        <f>IF($M44=0,$L44,"")</f>
        <v/>
      </c>
      <c r="R44">
        <f t="array" ref="R44">IFERROR(INDEX($L$2:$L$501,SMALL(IF($M$2:$M$501=1,ROW($M$2:$M$501)-1),ROW()-1)),"")</f>
        <v/>
      </c>
      <c r="S44">
        <f t="array" ref="S44">IFERROR(INDEX($L$2:$L$501,SMALL(IF($M$2:$M$501=0,ROW($M$2:$M$501)-1),ROW()-1)),"")</f>
        <v/>
      </c>
      <c r="U44">
        <f t="array" ref="U44">IFERROR(INDEX($C$2:$C$501,SMALL(IF($D$2:$D$501="France",ROW($D$2:$D$501)-1),ROW()-1)),"")</f>
        <v/>
      </c>
      <c r="V44">
        <f t="array" ref="V44">IFERROR(INDEX($C$2:$C$501,SMALL(IF($D$2:$D$501="Germany",ROW($D$2:$D$501)-1),ROW()-1)),"")</f>
        <v/>
      </c>
      <c r="W44">
        <f t="array" ref="W44">IFERROR(INDEX($C$2:$C$501,SMALL(IF($D$2:$D$501="Spain",ROW($D$2:$D$501)-1),ROW()-1)),"")</f>
        <v/>
      </c>
    </row>
    <row r="45">
      <c r="A45" t="n">
        <v>44</v>
      </c>
      <c r="B45" t="inlineStr">
        <is>
          <t>Brown</t>
        </is>
      </c>
      <c r="C45" t="n">
        <v>694</v>
      </c>
      <c r="D45" t="inlineStr">
        <is>
          <t>Germany</t>
        </is>
      </c>
      <c r="E45" t="inlineStr">
        <is>
          <t>Male</t>
        </is>
      </c>
      <c r="F45" t="n">
        <v>62</v>
      </c>
      <c r="G45" t="n">
        <v>9</v>
      </c>
      <c r="H45" t="n">
        <v>689.5</v>
      </c>
      <c r="I45" t="n">
        <v>3</v>
      </c>
      <c r="J45" t="n">
        <v>0</v>
      </c>
      <c r="K45" t="n">
        <v>0</v>
      </c>
      <c r="L45" t="n">
        <v>19803.7</v>
      </c>
      <c r="M45" t="n">
        <v>0</v>
      </c>
      <c r="O45">
        <f>IF($M45=1,$L45,"")</f>
        <v/>
      </c>
      <c r="P45">
        <f>IF($M45=0,$L45,"")</f>
        <v/>
      </c>
      <c r="R45">
        <f t="array" ref="R45">IFERROR(INDEX($L$2:$L$501,SMALL(IF($M$2:$M$501=1,ROW($M$2:$M$501)-1),ROW()-1)),"")</f>
        <v/>
      </c>
      <c r="S45">
        <f t="array" ref="S45">IFERROR(INDEX($L$2:$L$501,SMALL(IF($M$2:$M$501=0,ROW($M$2:$M$501)-1),ROW()-1)),"")</f>
        <v/>
      </c>
      <c r="U45">
        <f t="array" ref="U45">IFERROR(INDEX($C$2:$C$501,SMALL(IF($D$2:$D$501="France",ROW($D$2:$D$501)-1),ROW()-1)),"")</f>
        <v/>
      </c>
      <c r="V45">
        <f t="array" ref="V45">IFERROR(INDEX($C$2:$C$501,SMALL(IF($D$2:$D$501="Germany",ROW($D$2:$D$501)-1),ROW()-1)),"")</f>
        <v/>
      </c>
      <c r="W45">
        <f t="array" ref="W45">IFERROR(INDEX($C$2:$C$501,SMALL(IF($D$2:$D$501="Spain",ROW($D$2:$D$501)-1),ROW()-1)),"")</f>
        <v/>
      </c>
    </row>
    <row r="46">
      <c r="A46" t="n">
        <v>45</v>
      </c>
      <c r="B46" t="inlineStr">
        <is>
          <t>Wilson</t>
        </is>
      </c>
      <c r="C46" t="n">
        <v>640</v>
      </c>
      <c r="D46" t="inlineStr">
        <is>
          <t>Spain</t>
        </is>
      </c>
      <c r="E46" t="inlineStr">
        <is>
          <t>Female</t>
        </is>
      </c>
      <c r="F46" t="n">
        <v>44</v>
      </c>
      <c r="G46" t="n">
        <v>1</v>
      </c>
      <c r="H46" t="n">
        <v>133364.17</v>
      </c>
      <c r="I46" t="n">
        <v>4</v>
      </c>
      <c r="J46" t="n">
        <v>1</v>
      </c>
      <c r="K46" t="n">
        <v>0</v>
      </c>
      <c r="L46" t="n">
        <v>124490.71</v>
      </c>
      <c r="M46" t="n">
        <v>0</v>
      </c>
      <c r="O46">
        <f>IF($M46=1,$L46,"")</f>
        <v/>
      </c>
      <c r="P46">
        <f>IF($M46=0,$L46,"")</f>
        <v/>
      </c>
      <c r="R46">
        <f t="array" ref="R46">IFERROR(INDEX($L$2:$L$501,SMALL(IF($M$2:$M$501=1,ROW($M$2:$M$501)-1),ROW()-1)),"")</f>
        <v/>
      </c>
      <c r="S46">
        <f t="array" ref="S46">IFERROR(INDEX($L$2:$L$501,SMALL(IF($M$2:$M$501=0,ROW($M$2:$M$501)-1),ROW()-1)),"")</f>
        <v/>
      </c>
      <c r="U46">
        <f t="array" ref="U46">IFERROR(INDEX($C$2:$C$501,SMALL(IF($D$2:$D$501="France",ROW($D$2:$D$501)-1),ROW()-1)),"")</f>
        <v/>
      </c>
      <c r="V46">
        <f t="array" ref="V46">IFERROR(INDEX($C$2:$C$501,SMALL(IF($D$2:$D$501="Germany",ROW($D$2:$D$501)-1),ROW()-1)),"")</f>
        <v/>
      </c>
      <c r="W46">
        <f t="array" ref="W46">IFERROR(INDEX($C$2:$C$501,SMALL(IF($D$2:$D$501="Spain",ROW($D$2:$D$501)-1),ROW()-1)),"")</f>
        <v/>
      </c>
    </row>
    <row r="47">
      <c r="A47" t="n">
        <v>46</v>
      </c>
      <c r="B47" t="inlineStr">
        <is>
          <t>Jones</t>
        </is>
      </c>
      <c r="C47" t="n">
        <v>813</v>
      </c>
      <c r="D47" t="inlineStr">
        <is>
          <t>France</t>
        </is>
      </c>
      <c r="E47" t="inlineStr">
        <is>
          <t>Female</t>
        </is>
      </c>
      <c r="F47" t="n">
        <v>61</v>
      </c>
      <c r="G47" t="n">
        <v>9</v>
      </c>
      <c r="H47" t="n">
        <v>92243.96000000001</v>
      </c>
      <c r="I47" t="n">
        <v>2</v>
      </c>
      <c r="J47" t="n">
        <v>0</v>
      </c>
      <c r="K47" t="n">
        <v>1</v>
      </c>
      <c r="L47" t="n">
        <v>64920.41</v>
      </c>
      <c r="M47" t="n">
        <v>1</v>
      </c>
      <c r="O47">
        <f>IF($M47=1,$L47,"")</f>
        <v/>
      </c>
      <c r="P47">
        <f>IF($M47=0,$L47,"")</f>
        <v/>
      </c>
      <c r="R47">
        <f t="array" ref="R47">IFERROR(INDEX($L$2:$L$501,SMALL(IF($M$2:$M$501=1,ROW($M$2:$M$501)-1),ROW()-1)),"")</f>
        <v/>
      </c>
      <c r="S47">
        <f t="array" ref="S47">IFERROR(INDEX($L$2:$L$501,SMALL(IF($M$2:$M$501=0,ROW($M$2:$M$501)-1),ROW()-1)),"")</f>
        <v/>
      </c>
      <c r="U47">
        <f t="array" ref="U47">IFERROR(INDEX($C$2:$C$501,SMALL(IF($D$2:$D$501="France",ROW($D$2:$D$501)-1),ROW()-1)),"")</f>
        <v/>
      </c>
      <c r="V47">
        <f t="array" ref="V47">IFERROR(INDEX($C$2:$C$501,SMALL(IF($D$2:$D$501="Germany",ROW($D$2:$D$501)-1),ROW()-1)),"")</f>
        <v/>
      </c>
      <c r="W47">
        <f t="array" ref="W47">IFERROR(INDEX($C$2:$C$501,SMALL(IF($D$2:$D$501="Spain",ROW($D$2:$D$501)-1),ROW()-1)),"")</f>
        <v/>
      </c>
    </row>
    <row r="48">
      <c r="A48" t="n">
        <v>47</v>
      </c>
      <c r="B48" t="inlineStr">
        <is>
          <t>Williams</t>
        </is>
      </c>
      <c r="C48" t="n">
        <v>353</v>
      </c>
      <c r="D48" t="inlineStr">
        <is>
          <t>Germany</t>
        </is>
      </c>
      <c r="E48" t="inlineStr">
        <is>
          <t>Female</t>
        </is>
      </c>
      <c r="F48" t="n">
        <v>50</v>
      </c>
      <c r="G48" t="n">
        <v>4</v>
      </c>
      <c r="H48" t="n">
        <v>35813.31</v>
      </c>
      <c r="I48" t="n">
        <v>4</v>
      </c>
      <c r="J48" t="n">
        <v>0</v>
      </c>
      <c r="K48" t="n">
        <v>0</v>
      </c>
      <c r="L48" t="n">
        <v>133876.08</v>
      </c>
      <c r="M48" t="n">
        <v>0</v>
      </c>
      <c r="O48">
        <f>IF($M48=1,$L48,"")</f>
        <v/>
      </c>
      <c r="P48">
        <f>IF($M48=0,$L48,"")</f>
        <v/>
      </c>
      <c r="R48">
        <f t="array" ref="R48">IFERROR(INDEX($L$2:$L$501,SMALL(IF($M$2:$M$501=1,ROW($M$2:$M$501)-1),ROW()-1)),"")</f>
        <v/>
      </c>
      <c r="S48">
        <f t="array" ref="S48">IFERROR(INDEX($L$2:$L$501,SMALL(IF($M$2:$M$501=0,ROW($M$2:$M$501)-1),ROW()-1)),"")</f>
        <v/>
      </c>
      <c r="U48">
        <f t="array" ref="U48">IFERROR(INDEX($C$2:$C$501,SMALL(IF($D$2:$D$501="France",ROW($D$2:$D$501)-1),ROW()-1)),"")</f>
        <v/>
      </c>
      <c r="V48">
        <f t="array" ref="V48">IFERROR(INDEX($C$2:$C$501,SMALL(IF($D$2:$D$501="Germany",ROW($D$2:$D$501)-1),ROW()-1)),"")</f>
        <v/>
      </c>
      <c r="W48">
        <f t="array" ref="W48">IFERROR(INDEX($C$2:$C$501,SMALL(IF($D$2:$D$501="Spain",ROW($D$2:$D$501)-1),ROW()-1)),"")</f>
        <v/>
      </c>
    </row>
    <row r="49">
      <c r="A49" t="n">
        <v>48</v>
      </c>
      <c r="B49" t="inlineStr">
        <is>
          <t>Wilson</t>
        </is>
      </c>
      <c r="C49" t="n">
        <v>538</v>
      </c>
      <c r="D49" t="inlineStr">
        <is>
          <t>Germany</t>
        </is>
      </c>
      <c r="E49" t="inlineStr">
        <is>
          <t>Female</t>
        </is>
      </c>
      <c r="F49" t="n">
        <v>48</v>
      </c>
      <c r="G49" t="n">
        <v>6</v>
      </c>
      <c r="H49" t="n">
        <v>217182.14</v>
      </c>
      <c r="I49" t="n">
        <v>2</v>
      </c>
      <c r="J49" t="n">
        <v>0</v>
      </c>
      <c r="K49" t="n">
        <v>1</v>
      </c>
      <c r="L49" t="n">
        <v>110877.22</v>
      </c>
      <c r="M49" t="n">
        <v>1</v>
      </c>
      <c r="O49">
        <f>IF($M49=1,$L49,"")</f>
        <v/>
      </c>
      <c r="P49">
        <f>IF($M49=0,$L49,"")</f>
        <v/>
      </c>
      <c r="R49">
        <f t="array" ref="R49">IFERROR(INDEX($L$2:$L$501,SMALL(IF($M$2:$M$501=1,ROW($M$2:$M$501)-1),ROW()-1)),"")</f>
        <v/>
      </c>
      <c r="S49">
        <f t="array" ref="S49">IFERROR(INDEX($L$2:$L$501,SMALL(IF($M$2:$M$501=0,ROW($M$2:$M$501)-1),ROW()-1)),"")</f>
        <v/>
      </c>
      <c r="U49">
        <f t="array" ref="U49">IFERROR(INDEX($C$2:$C$501,SMALL(IF($D$2:$D$501="France",ROW($D$2:$D$501)-1),ROW()-1)),"")</f>
        <v/>
      </c>
      <c r="V49">
        <f t="array" ref="V49">IFERROR(INDEX($C$2:$C$501,SMALL(IF($D$2:$D$501="Germany",ROW($D$2:$D$501)-1),ROW()-1)),"")</f>
        <v/>
      </c>
      <c r="W49">
        <f t="array" ref="W49">IFERROR(INDEX($C$2:$C$501,SMALL(IF($D$2:$D$501="Spain",ROW($D$2:$D$501)-1),ROW()-1)),"")</f>
        <v/>
      </c>
    </row>
    <row r="50">
      <c r="A50" t="n">
        <v>49</v>
      </c>
      <c r="B50" t="inlineStr">
        <is>
          <t>Williams</t>
        </is>
      </c>
      <c r="C50" t="n">
        <v>588</v>
      </c>
      <c r="D50" t="inlineStr">
        <is>
          <t>Spain</t>
        </is>
      </c>
      <c r="E50" t="inlineStr">
        <is>
          <t>Female</t>
        </is>
      </c>
      <c r="F50" t="n">
        <v>32</v>
      </c>
      <c r="G50" t="n">
        <v>9</v>
      </c>
      <c r="H50" t="n">
        <v>126550.42</v>
      </c>
      <c r="I50" t="n">
        <v>3</v>
      </c>
      <c r="J50" t="n">
        <v>0</v>
      </c>
      <c r="K50" t="n">
        <v>1</v>
      </c>
      <c r="L50" t="n">
        <v>21781.6</v>
      </c>
      <c r="M50" t="n">
        <v>1</v>
      </c>
      <c r="O50">
        <f>IF($M50=1,$L50,"")</f>
        <v/>
      </c>
      <c r="P50">
        <f>IF($M50=0,$L50,"")</f>
        <v/>
      </c>
      <c r="R50">
        <f t="array" ref="R50">IFERROR(INDEX($L$2:$L$501,SMALL(IF($M$2:$M$501=1,ROW($M$2:$M$501)-1),ROW()-1)),"")</f>
        <v/>
      </c>
      <c r="S50">
        <f t="array" ref="S50">IFERROR(INDEX($L$2:$L$501,SMALL(IF($M$2:$M$501=0,ROW($M$2:$M$501)-1),ROW()-1)),"")</f>
        <v/>
      </c>
      <c r="U50">
        <f t="array" ref="U50">IFERROR(INDEX($C$2:$C$501,SMALL(IF($D$2:$D$501="France",ROW($D$2:$D$501)-1),ROW()-1)),"")</f>
        <v/>
      </c>
      <c r="V50">
        <f t="array" ref="V50">IFERROR(INDEX($C$2:$C$501,SMALL(IF($D$2:$D$501="Germany",ROW($D$2:$D$501)-1),ROW()-1)),"")</f>
        <v/>
      </c>
      <c r="W50">
        <f t="array" ref="W50">IFERROR(INDEX($C$2:$C$501,SMALL(IF($D$2:$D$501="Spain",ROW($D$2:$D$501)-1),ROW()-1)),"")</f>
        <v/>
      </c>
    </row>
    <row r="51">
      <c r="A51" t="n">
        <v>50</v>
      </c>
      <c r="B51" t="inlineStr">
        <is>
          <t>Smith</t>
        </is>
      </c>
      <c r="C51" t="n">
        <v>515</v>
      </c>
      <c r="D51" t="inlineStr">
        <is>
          <t>Spain</t>
        </is>
      </c>
      <c r="E51" t="inlineStr">
        <is>
          <t>Male</t>
        </is>
      </c>
      <c r="F51" t="n">
        <v>89</v>
      </c>
      <c r="G51" t="n">
        <v>10</v>
      </c>
      <c r="H51" t="n">
        <v>87177.02</v>
      </c>
      <c r="I51" t="n">
        <v>1</v>
      </c>
      <c r="J51" t="n">
        <v>1</v>
      </c>
      <c r="K51" t="n">
        <v>1</v>
      </c>
      <c r="L51" t="n">
        <v>118097.5</v>
      </c>
      <c r="M51" t="n">
        <v>0</v>
      </c>
      <c r="O51">
        <f>IF($M51=1,$L51,"")</f>
        <v/>
      </c>
      <c r="P51">
        <f>IF($M51=0,$L51,"")</f>
        <v/>
      </c>
      <c r="R51">
        <f t="array" ref="R51">IFERROR(INDEX($L$2:$L$501,SMALL(IF($M$2:$M$501=1,ROW($M$2:$M$501)-1),ROW()-1)),"")</f>
        <v/>
      </c>
      <c r="S51">
        <f t="array" ref="S51">IFERROR(INDEX($L$2:$L$501,SMALL(IF($M$2:$M$501=0,ROW($M$2:$M$501)-1),ROW()-1)),"")</f>
        <v/>
      </c>
      <c r="U51">
        <f t="array" ref="U51">IFERROR(INDEX($C$2:$C$501,SMALL(IF($D$2:$D$501="France",ROW($D$2:$D$501)-1),ROW()-1)),"")</f>
        <v/>
      </c>
      <c r="V51">
        <f t="array" ref="V51">IFERROR(INDEX($C$2:$C$501,SMALL(IF($D$2:$D$501="Germany",ROW($D$2:$D$501)-1),ROW()-1)),"")</f>
        <v/>
      </c>
      <c r="W51">
        <f t="array" ref="W51">IFERROR(INDEX($C$2:$C$501,SMALL(IF($D$2:$D$501="Spain",ROW($D$2:$D$501)-1),ROW()-1)),"")</f>
        <v/>
      </c>
    </row>
    <row r="52">
      <c r="A52" t="n">
        <v>51</v>
      </c>
      <c r="B52" t="inlineStr">
        <is>
          <t>Smith</t>
        </is>
      </c>
      <c r="C52" t="n">
        <v>521</v>
      </c>
      <c r="D52" t="inlineStr">
        <is>
          <t>Spain</t>
        </is>
      </c>
      <c r="E52" t="inlineStr">
        <is>
          <t>Male</t>
        </is>
      </c>
      <c r="F52" t="n">
        <v>79</v>
      </c>
      <c r="G52" t="n">
        <v>8</v>
      </c>
      <c r="H52" t="n">
        <v>133180.14</v>
      </c>
      <c r="I52" t="n">
        <v>3</v>
      </c>
      <c r="J52" t="n">
        <v>1</v>
      </c>
      <c r="K52" t="n">
        <v>1</v>
      </c>
      <c r="L52" t="n">
        <v>125168.23</v>
      </c>
      <c r="M52" t="n">
        <v>1</v>
      </c>
      <c r="O52">
        <f>IF($M52=1,$L52,"")</f>
        <v/>
      </c>
      <c r="P52">
        <f>IF($M52=0,$L52,"")</f>
        <v/>
      </c>
      <c r="R52">
        <f t="array" ref="R52">IFERROR(INDEX($L$2:$L$501,SMALL(IF($M$2:$M$501=1,ROW($M$2:$M$501)-1),ROW()-1)),"")</f>
        <v/>
      </c>
      <c r="S52">
        <f t="array" ref="S52">IFERROR(INDEX($L$2:$L$501,SMALL(IF($M$2:$M$501=0,ROW($M$2:$M$501)-1),ROW()-1)),"")</f>
        <v/>
      </c>
      <c r="U52">
        <f t="array" ref="U52">IFERROR(INDEX($C$2:$C$501,SMALL(IF($D$2:$D$501="France",ROW($D$2:$D$501)-1),ROW()-1)),"")</f>
        <v/>
      </c>
      <c r="V52">
        <f t="array" ref="V52">IFERROR(INDEX($C$2:$C$501,SMALL(IF($D$2:$D$501="Germany",ROW($D$2:$D$501)-1),ROW()-1)),"")</f>
        <v/>
      </c>
      <c r="W52">
        <f t="array" ref="W52">IFERROR(INDEX($C$2:$C$501,SMALL(IF($D$2:$D$501="Spain",ROW($D$2:$D$501)-1),ROW()-1)),"")</f>
        <v/>
      </c>
    </row>
    <row r="53">
      <c r="A53" t="n">
        <v>52</v>
      </c>
      <c r="B53" t="inlineStr">
        <is>
          <t>Brown</t>
        </is>
      </c>
      <c r="C53" t="n">
        <v>561</v>
      </c>
      <c r="D53" t="inlineStr">
        <is>
          <t>Spain</t>
        </is>
      </c>
      <c r="E53" t="inlineStr">
        <is>
          <t>Male</t>
        </is>
      </c>
      <c r="F53" t="n">
        <v>19</v>
      </c>
      <c r="G53" t="n">
        <v>10</v>
      </c>
      <c r="H53" t="n">
        <v>202302.98</v>
      </c>
      <c r="I53" t="n">
        <v>1</v>
      </c>
      <c r="J53" t="n">
        <v>1</v>
      </c>
      <c r="K53" t="n">
        <v>1</v>
      </c>
      <c r="L53" t="n">
        <v>24025.92</v>
      </c>
      <c r="M53" t="n">
        <v>0</v>
      </c>
      <c r="O53">
        <f>IF($M53=1,$L53,"")</f>
        <v/>
      </c>
      <c r="P53">
        <f>IF($M53=0,$L53,"")</f>
        <v/>
      </c>
      <c r="R53">
        <f t="array" ref="R53">IFERROR(INDEX($L$2:$L$501,SMALL(IF($M$2:$M$501=1,ROW($M$2:$M$501)-1),ROW()-1)),"")</f>
        <v/>
      </c>
      <c r="S53">
        <f t="array" ref="S53">IFERROR(INDEX($L$2:$L$501,SMALL(IF($M$2:$M$501=0,ROW($M$2:$M$501)-1),ROW()-1)),"")</f>
        <v/>
      </c>
      <c r="U53">
        <f t="array" ref="U53">IFERROR(INDEX($C$2:$C$501,SMALL(IF($D$2:$D$501="France",ROW($D$2:$D$501)-1),ROW()-1)),"")</f>
        <v/>
      </c>
      <c r="V53">
        <f t="array" ref="V53">IFERROR(INDEX($C$2:$C$501,SMALL(IF($D$2:$D$501="Germany",ROW($D$2:$D$501)-1),ROW()-1)),"")</f>
        <v/>
      </c>
      <c r="W53">
        <f t="array" ref="W53">IFERROR(INDEX($C$2:$C$501,SMALL(IF($D$2:$D$501="Spain",ROW($D$2:$D$501)-1),ROW()-1)),"")</f>
        <v/>
      </c>
    </row>
    <row r="54">
      <c r="A54" t="n">
        <v>53</v>
      </c>
      <c r="B54" t="inlineStr">
        <is>
          <t>Davis</t>
        </is>
      </c>
      <c r="C54" t="n">
        <v>694</v>
      </c>
      <c r="D54" t="inlineStr">
        <is>
          <t>France</t>
        </is>
      </c>
      <c r="E54" t="inlineStr">
        <is>
          <t>Female</t>
        </is>
      </c>
      <c r="F54" t="n">
        <v>65</v>
      </c>
      <c r="G54" t="n">
        <v>0</v>
      </c>
      <c r="H54" t="n">
        <v>42733.7</v>
      </c>
      <c r="I54" t="n">
        <v>3</v>
      </c>
      <c r="J54" t="n">
        <v>0</v>
      </c>
      <c r="K54" t="n">
        <v>1</v>
      </c>
      <c r="L54" t="n">
        <v>103834.77</v>
      </c>
      <c r="M54" t="n">
        <v>0</v>
      </c>
      <c r="O54">
        <f>IF($M54=1,$L54,"")</f>
        <v/>
      </c>
      <c r="P54">
        <f>IF($M54=0,$L54,"")</f>
        <v/>
      </c>
      <c r="R54">
        <f t="array" ref="R54">IFERROR(INDEX($L$2:$L$501,SMALL(IF($M$2:$M$501=1,ROW($M$2:$M$501)-1),ROW()-1)),"")</f>
        <v/>
      </c>
      <c r="S54">
        <f t="array" ref="S54">IFERROR(INDEX($L$2:$L$501,SMALL(IF($M$2:$M$501=0,ROW($M$2:$M$501)-1),ROW()-1)),"")</f>
        <v/>
      </c>
      <c r="U54">
        <f t="array" ref="U54">IFERROR(INDEX($C$2:$C$501,SMALL(IF($D$2:$D$501="France",ROW($D$2:$D$501)-1),ROW()-1)),"")</f>
        <v/>
      </c>
      <c r="V54">
        <f t="array" ref="V54">IFERROR(INDEX($C$2:$C$501,SMALL(IF($D$2:$D$501="Germany",ROW($D$2:$D$501)-1),ROW()-1)),"")</f>
        <v/>
      </c>
      <c r="W54">
        <f t="array" ref="W54">IFERROR(INDEX($C$2:$C$501,SMALL(IF($D$2:$D$501="Spain",ROW($D$2:$D$501)-1),ROW()-1)),"")</f>
        <v/>
      </c>
    </row>
    <row r="55">
      <c r="A55" t="n">
        <v>54</v>
      </c>
      <c r="B55" t="inlineStr">
        <is>
          <t>Davis</t>
        </is>
      </c>
      <c r="C55" t="n">
        <v>420</v>
      </c>
      <c r="D55" t="inlineStr">
        <is>
          <t>Spain</t>
        </is>
      </c>
      <c r="E55" t="inlineStr">
        <is>
          <t>Male</t>
        </is>
      </c>
      <c r="F55" t="n">
        <v>61</v>
      </c>
      <c r="G55" t="n">
        <v>5</v>
      </c>
      <c r="H55" t="n">
        <v>216419.15</v>
      </c>
      <c r="I55" t="n">
        <v>4</v>
      </c>
      <c r="J55" t="n">
        <v>1</v>
      </c>
      <c r="K55" t="n">
        <v>1</v>
      </c>
      <c r="L55" t="n">
        <v>40937.34</v>
      </c>
      <c r="M55" t="n">
        <v>1</v>
      </c>
      <c r="O55">
        <f>IF($M55=1,$L55,"")</f>
        <v/>
      </c>
      <c r="P55">
        <f>IF($M55=0,$L55,"")</f>
        <v/>
      </c>
      <c r="R55">
        <f t="array" ref="R55">IFERROR(INDEX($L$2:$L$501,SMALL(IF($M$2:$M$501=1,ROW($M$2:$M$501)-1),ROW()-1)),"")</f>
        <v/>
      </c>
      <c r="S55">
        <f t="array" ref="S55">IFERROR(INDEX($L$2:$L$501,SMALL(IF($M$2:$M$501=0,ROW($M$2:$M$501)-1),ROW()-1)),"")</f>
        <v/>
      </c>
      <c r="U55">
        <f t="array" ref="U55">IFERROR(INDEX($C$2:$C$501,SMALL(IF($D$2:$D$501="France",ROW($D$2:$D$501)-1),ROW()-1)),"")</f>
        <v/>
      </c>
      <c r="V55">
        <f t="array" ref="V55">IFERROR(INDEX($C$2:$C$501,SMALL(IF($D$2:$D$501="Germany",ROW($D$2:$D$501)-1),ROW()-1)),"")</f>
        <v/>
      </c>
      <c r="W55">
        <f t="array" ref="W55">IFERROR(INDEX($C$2:$C$501,SMALL(IF($D$2:$D$501="Spain",ROW($D$2:$D$501)-1),ROW()-1)),"")</f>
        <v/>
      </c>
    </row>
    <row r="56">
      <c r="A56" t="n">
        <v>55</v>
      </c>
      <c r="B56" t="inlineStr">
        <is>
          <t>Miller</t>
        </is>
      </c>
      <c r="C56" t="n">
        <v>498</v>
      </c>
      <c r="D56" t="inlineStr">
        <is>
          <t>France</t>
        </is>
      </c>
      <c r="E56" t="inlineStr">
        <is>
          <t>Male</t>
        </is>
      </c>
      <c r="F56" t="n">
        <v>33</v>
      </c>
      <c r="G56" t="n">
        <v>6</v>
      </c>
      <c r="H56" t="n">
        <v>146361.2</v>
      </c>
      <c r="I56" t="n">
        <v>4</v>
      </c>
      <c r="J56" t="n">
        <v>0</v>
      </c>
      <c r="K56" t="n">
        <v>1</v>
      </c>
      <c r="L56" t="n">
        <v>56949.24</v>
      </c>
      <c r="M56" t="n">
        <v>0</v>
      </c>
      <c r="O56">
        <f>IF($M56=1,$L56,"")</f>
        <v/>
      </c>
      <c r="P56">
        <f>IF($M56=0,$L56,"")</f>
        <v/>
      </c>
      <c r="R56">
        <f t="array" ref="R56">IFERROR(INDEX($L$2:$L$501,SMALL(IF($M$2:$M$501=1,ROW($M$2:$M$501)-1),ROW()-1)),"")</f>
        <v/>
      </c>
      <c r="S56">
        <f t="array" ref="S56">IFERROR(INDEX($L$2:$L$501,SMALL(IF($M$2:$M$501=0,ROW($M$2:$M$501)-1),ROW()-1)),"")</f>
        <v/>
      </c>
      <c r="U56">
        <f t="array" ref="U56">IFERROR(INDEX($C$2:$C$501,SMALL(IF($D$2:$D$501="France",ROW($D$2:$D$501)-1),ROW()-1)),"")</f>
        <v/>
      </c>
      <c r="V56">
        <f t="array" ref="V56">IFERROR(INDEX($C$2:$C$501,SMALL(IF($D$2:$D$501="Germany",ROW($D$2:$D$501)-1),ROW()-1)),"")</f>
        <v/>
      </c>
      <c r="W56">
        <f t="array" ref="W56">IFERROR(INDEX($C$2:$C$501,SMALL(IF($D$2:$D$501="Spain",ROW($D$2:$D$501)-1),ROW()-1)),"")</f>
        <v/>
      </c>
    </row>
    <row r="57">
      <c r="A57" t="n">
        <v>56</v>
      </c>
      <c r="B57" t="inlineStr">
        <is>
          <t>Moore</t>
        </is>
      </c>
      <c r="C57" t="n">
        <v>740</v>
      </c>
      <c r="D57" t="inlineStr">
        <is>
          <t>France</t>
        </is>
      </c>
      <c r="E57" t="inlineStr">
        <is>
          <t>Male</t>
        </is>
      </c>
      <c r="F57" t="n">
        <v>86</v>
      </c>
      <c r="G57" t="n">
        <v>0</v>
      </c>
      <c r="H57" t="n">
        <v>153882.97</v>
      </c>
      <c r="I57" t="n">
        <v>2</v>
      </c>
      <c r="J57" t="n">
        <v>0</v>
      </c>
      <c r="K57" t="n">
        <v>1</v>
      </c>
      <c r="L57" t="n">
        <v>29656.96</v>
      </c>
      <c r="M57" t="n">
        <v>1</v>
      </c>
      <c r="O57">
        <f>IF($M57=1,$L57,"")</f>
        <v/>
      </c>
      <c r="P57">
        <f>IF($M57=0,$L57,"")</f>
        <v/>
      </c>
      <c r="R57">
        <f t="array" ref="R57">IFERROR(INDEX($L$2:$L$501,SMALL(IF($M$2:$M$501=1,ROW($M$2:$M$501)-1),ROW()-1)),"")</f>
        <v/>
      </c>
      <c r="S57">
        <f t="array" ref="S57">IFERROR(INDEX($L$2:$L$501,SMALL(IF($M$2:$M$501=0,ROW($M$2:$M$501)-1),ROW()-1)),"")</f>
        <v/>
      </c>
      <c r="U57">
        <f t="array" ref="U57">IFERROR(INDEX($C$2:$C$501,SMALL(IF($D$2:$D$501="France",ROW($D$2:$D$501)-1),ROW()-1)),"")</f>
        <v/>
      </c>
      <c r="V57">
        <f t="array" ref="V57">IFERROR(INDEX($C$2:$C$501,SMALL(IF($D$2:$D$501="Germany",ROW($D$2:$D$501)-1),ROW()-1)),"")</f>
        <v/>
      </c>
      <c r="W57">
        <f t="array" ref="W57">IFERROR(INDEX($C$2:$C$501,SMALL(IF($D$2:$D$501="Spain",ROW($D$2:$D$501)-1),ROW()-1)),"")</f>
        <v/>
      </c>
    </row>
    <row r="58">
      <c r="A58" t="n">
        <v>57</v>
      </c>
      <c r="B58" t="inlineStr">
        <is>
          <t>Brown</t>
        </is>
      </c>
      <c r="C58" t="n">
        <v>634</v>
      </c>
      <c r="D58" t="inlineStr">
        <is>
          <t>Germany</t>
        </is>
      </c>
      <c r="E58" t="inlineStr">
        <is>
          <t>Female</t>
        </is>
      </c>
      <c r="F58" t="n">
        <v>57</v>
      </c>
      <c r="G58" t="n">
        <v>6</v>
      </c>
      <c r="H58" t="n">
        <v>147135.54</v>
      </c>
      <c r="I58" t="n">
        <v>4</v>
      </c>
      <c r="J58" t="n">
        <v>1</v>
      </c>
      <c r="K58" t="n">
        <v>0</v>
      </c>
      <c r="L58" t="n">
        <v>16131.69</v>
      </c>
      <c r="M58" t="n">
        <v>1</v>
      </c>
      <c r="O58">
        <f>IF($M58=1,$L58,"")</f>
        <v/>
      </c>
      <c r="P58">
        <f>IF($M58=0,$L58,"")</f>
        <v/>
      </c>
      <c r="R58">
        <f t="array" ref="R58">IFERROR(INDEX($L$2:$L$501,SMALL(IF($M$2:$M$501=1,ROW($M$2:$M$501)-1),ROW()-1)),"")</f>
        <v/>
      </c>
      <c r="S58">
        <f t="array" ref="S58">IFERROR(INDEX($L$2:$L$501,SMALL(IF($M$2:$M$501=0,ROW($M$2:$M$501)-1),ROW()-1)),"")</f>
        <v/>
      </c>
      <c r="U58">
        <f t="array" ref="U58">IFERROR(INDEX($C$2:$C$501,SMALL(IF($D$2:$D$501="France",ROW($D$2:$D$501)-1),ROW()-1)),"")</f>
        <v/>
      </c>
      <c r="V58">
        <f t="array" ref="V58">IFERROR(INDEX($C$2:$C$501,SMALL(IF($D$2:$D$501="Germany",ROW($D$2:$D$501)-1),ROW()-1)),"")</f>
        <v/>
      </c>
      <c r="W58">
        <f t="array" ref="W58">IFERROR(INDEX($C$2:$C$501,SMALL(IF($D$2:$D$501="Spain",ROW($D$2:$D$501)-1),ROW()-1)),"")</f>
        <v/>
      </c>
    </row>
    <row r="59">
      <c r="A59" t="n">
        <v>58</v>
      </c>
      <c r="B59" t="inlineStr">
        <is>
          <t>Johnson</t>
        </is>
      </c>
      <c r="C59" t="n">
        <v>465</v>
      </c>
      <c r="D59" t="inlineStr">
        <is>
          <t>Germany</t>
        </is>
      </c>
      <c r="E59" t="inlineStr">
        <is>
          <t>Male</t>
        </is>
      </c>
      <c r="F59" t="n">
        <v>18</v>
      </c>
      <c r="G59" t="n">
        <v>0</v>
      </c>
      <c r="H59" t="n">
        <v>55329.78</v>
      </c>
      <c r="I59" t="n">
        <v>1</v>
      </c>
      <c r="J59" t="n">
        <v>0</v>
      </c>
      <c r="K59" t="n">
        <v>0</v>
      </c>
      <c r="L59" t="n">
        <v>130050.9</v>
      </c>
      <c r="M59" t="n">
        <v>1</v>
      </c>
      <c r="O59">
        <f>IF($M59=1,$L59,"")</f>
        <v/>
      </c>
      <c r="P59">
        <f>IF($M59=0,$L59,"")</f>
        <v/>
      </c>
      <c r="R59">
        <f t="array" ref="R59">IFERROR(INDEX($L$2:$L$501,SMALL(IF($M$2:$M$501=1,ROW($M$2:$M$501)-1),ROW()-1)),"")</f>
        <v/>
      </c>
      <c r="S59">
        <f t="array" ref="S59">IFERROR(INDEX($L$2:$L$501,SMALL(IF($M$2:$M$501=0,ROW($M$2:$M$501)-1),ROW()-1)),"")</f>
        <v/>
      </c>
      <c r="U59">
        <f t="array" ref="U59">IFERROR(INDEX($C$2:$C$501,SMALL(IF($D$2:$D$501="France",ROW($D$2:$D$501)-1),ROW()-1)),"")</f>
        <v/>
      </c>
      <c r="V59">
        <f t="array" ref="V59">IFERROR(INDEX($C$2:$C$501,SMALL(IF($D$2:$D$501="Germany",ROW($D$2:$D$501)-1),ROW()-1)),"")</f>
        <v/>
      </c>
      <c r="W59">
        <f t="array" ref="W59">IFERROR(INDEX($C$2:$C$501,SMALL(IF($D$2:$D$501="Spain",ROW($D$2:$D$501)-1),ROW()-1)),"")</f>
        <v/>
      </c>
    </row>
    <row r="60">
      <c r="A60" t="n">
        <v>59</v>
      </c>
      <c r="B60" t="inlineStr">
        <is>
          <t>Brown</t>
        </is>
      </c>
      <c r="C60" t="n">
        <v>740</v>
      </c>
      <c r="D60" t="inlineStr">
        <is>
          <t>Spain</t>
        </is>
      </c>
      <c r="E60" t="inlineStr">
        <is>
          <t>Male</t>
        </is>
      </c>
      <c r="F60" t="n">
        <v>76</v>
      </c>
      <c r="G60" t="n">
        <v>6</v>
      </c>
      <c r="H60" t="n">
        <v>46184.63</v>
      </c>
      <c r="I60" t="n">
        <v>4</v>
      </c>
      <c r="J60" t="n">
        <v>0</v>
      </c>
      <c r="K60" t="n">
        <v>1</v>
      </c>
      <c r="L60" t="n">
        <v>140603.54</v>
      </c>
      <c r="M60" t="n">
        <v>0</v>
      </c>
      <c r="O60">
        <f>IF($M60=1,$L60,"")</f>
        <v/>
      </c>
      <c r="P60">
        <f>IF($M60=0,$L60,"")</f>
        <v/>
      </c>
      <c r="R60">
        <f t="array" ref="R60">IFERROR(INDEX($L$2:$L$501,SMALL(IF($M$2:$M$501=1,ROW($M$2:$M$501)-1),ROW()-1)),"")</f>
        <v/>
      </c>
      <c r="S60">
        <f t="array" ref="S60">IFERROR(INDEX($L$2:$L$501,SMALL(IF($M$2:$M$501=0,ROW($M$2:$M$501)-1),ROW()-1)),"")</f>
        <v/>
      </c>
      <c r="U60">
        <f t="array" ref="U60">IFERROR(INDEX($C$2:$C$501,SMALL(IF($D$2:$D$501="France",ROW($D$2:$D$501)-1),ROW()-1)),"")</f>
        <v/>
      </c>
      <c r="V60">
        <f t="array" ref="V60">IFERROR(INDEX($C$2:$C$501,SMALL(IF($D$2:$D$501="Germany",ROW($D$2:$D$501)-1),ROW()-1)),"")</f>
        <v/>
      </c>
      <c r="W60">
        <f t="array" ref="W60">IFERROR(INDEX($C$2:$C$501,SMALL(IF($D$2:$D$501="Spain",ROW($D$2:$D$501)-1),ROW()-1)),"")</f>
        <v/>
      </c>
    </row>
    <row r="61">
      <c r="A61" t="n">
        <v>60</v>
      </c>
      <c r="B61" t="inlineStr">
        <is>
          <t>Taylor</t>
        </is>
      </c>
      <c r="C61" t="n">
        <v>672</v>
      </c>
      <c r="D61" t="inlineStr">
        <is>
          <t>Germany</t>
        </is>
      </c>
      <c r="E61" t="inlineStr">
        <is>
          <t>Male</t>
        </is>
      </c>
      <c r="F61" t="n">
        <v>30</v>
      </c>
      <c r="G61" t="n">
        <v>7</v>
      </c>
      <c r="H61" t="n">
        <v>119338.08</v>
      </c>
      <c r="I61" t="n">
        <v>2</v>
      </c>
      <c r="J61" t="n">
        <v>0</v>
      </c>
      <c r="K61" t="n">
        <v>1</v>
      </c>
      <c r="L61" t="n">
        <v>111048.16</v>
      </c>
      <c r="M61" t="n">
        <v>1</v>
      </c>
      <c r="O61">
        <f>IF($M61=1,$L61,"")</f>
        <v/>
      </c>
      <c r="P61">
        <f>IF($M61=0,$L61,"")</f>
        <v/>
      </c>
      <c r="R61">
        <f t="array" ref="R61">IFERROR(INDEX($L$2:$L$501,SMALL(IF($M$2:$M$501=1,ROW($M$2:$M$501)-1),ROW()-1)),"")</f>
        <v/>
      </c>
      <c r="S61">
        <f t="array" ref="S61">IFERROR(INDEX($L$2:$L$501,SMALL(IF($M$2:$M$501=0,ROW($M$2:$M$501)-1),ROW()-1)),"")</f>
        <v/>
      </c>
      <c r="U61">
        <f t="array" ref="U61">IFERROR(INDEX($C$2:$C$501,SMALL(IF($D$2:$D$501="France",ROW($D$2:$D$501)-1),ROW()-1)),"")</f>
        <v/>
      </c>
      <c r="V61">
        <f t="array" ref="V61">IFERROR(INDEX($C$2:$C$501,SMALL(IF($D$2:$D$501="Germany",ROW($D$2:$D$501)-1),ROW()-1)),"")</f>
        <v/>
      </c>
      <c r="W61">
        <f t="array" ref="W61">IFERROR(INDEX($C$2:$C$501,SMALL(IF($D$2:$D$501="Spain",ROW($D$2:$D$501)-1),ROW()-1)),"")</f>
        <v/>
      </c>
    </row>
    <row r="62">
      <c r="A62" t="n">
        <v>61</v>
      </c>
      <c r="B62" t="inlineStr">
        <is>
          <t>Moore</t>
        </is>
      </c>
      <c r="C62" t="n">
        <v>442</v>
      </c>
      <c r="D62" t="inlineStr">
        <is>
          <t>France</t>
        </is>
      </c>
      <c r="E62" t="inlineStr">
        <is>
          <t>Female</t>
        </is>
      </c>
      <c r="F62" t="n">
        <v>61</v>
      </c>
      <c r="G62" t="n">
        <v>1</v>
      </c>
      <c r="H62" t="n">
        <v>89085.67999999999</v>
      </c>
      <c r="I62" t="n">
        <v>1</v>
      </c>
      <c r="J62" t="n">
        <v>1</v>
      </c>
      <c r="K62" t="n">
        <v>1</v>
      </c>
      <c r="L62" t="n">
        <v>33012.78</v>
      </c>
      <c r="M62" t="n">
        <v>0</v>
      </c>
      <c r="O62">
        <f>IF($M62=1,$L62,"")</f>
        <v/>
      </c>
      <c r="P62">
        <f>IF($M62=0,$L62,"")</f>
        <v/>
      </c>
      <c r="R62">
        <f t="array" ref="R62">IFERROR(INDEX($L$2:$L$501,SMALL(IF($M$2:$M$501=1,ROW($M$2:$M$501)-1),ROW()-1)),"")</f>
        <v/>
      </c>
      <c r="S62">
        <f t="array" ref="S62">IFERROR(INDEX($L$2:$L$501,SMALL(IF($M$2:$M$501=0,ROW($M$2:$M$501)-1),ROW()-1)),"")</f>
        <v/>
      </c>
      <c r="U62">
        <f t="array" ref="U62">IFERROR(INDEX($C$2:$C$501,SMALL(IF($D$2:$D$501="France",ROW($D$2:$D$501)-1),ROW()-1)),"")</f>
        <v/>
      </c>
      <c r="V62">
        <f t="array" ref="V62">IFERROR(INDEX($C$2:$C$501,SMALL(IF($D$2:$D$501="Germany",ROW($D$2:$D$501)-1),ROW()-1)),"")</f>
        <v/>
      </c>
      <c r="W62">
        <f t="array" ref="W62">IFERROR(INDEX($C$2:$C$501,SMALL(IF($D$2:$D$501="Spain",ROW($D$2:$D$501)-1),ROW()-1)),"")</f>
        <v/>
      </c>
    </row>
    <row r="63">
      <c r="A63" t="n">
        <v>62</v>
      </c>
      <c r="B63" t="inlineStr">
        <is>
          <t>Johnson</t>
        </is>
      </c>
      <c r="C63" t="n">
        <v>826</v>
      </c>
      <c r="D63" t="inlineStr">
        <is>
          <t>Spain</t>
        </is>
      </c>
      <c r="E63" t="inlineStr">
        <is>
          <t>Male</t>
        </is>
      </c>
      <c r="F63" t="n">
        <v>72</v>
      </c>
      <c r="G63" t="n">
        <v>1</v>
      </c>
      <c r="H63" t="n">
        <v>60209.09</v>
      </c>
      <c r="I63" t="n">
        <v>1</v>
      </c>
      <c r="J63" t="n">
        <v>0</v>
      </c>
      <c r="K63" t="n">
        <v>0</v>
      </c>
      <c r="L63" t="n">
        <v>10127.81</v>
      </c>
      <c r="M63" t="n">
        <v>1</v>
      </c>
      <c r="O63">
        <f>IF($M63=1,$L63,"")</f>
        <v/>
      </c>
      <c r="P63">
        <f>IF($M63=0,$L63,"")</f>
        <v/>
      </c>
      <c r="R63">
        <f t="array" ref="R63">IFERROR(INDEX($L$2:$L$501,SMALL(IF($M$2:$M$501=1,ROW($M$2:$M$501)-1),ROW()-1)),"")</f>
        <v/>
      </c>
      <c r="S63">
        <f t="array" ref="S63">IFERROR(INDEX($L$2:$L$501,SMALL(IF($M$2:$M$501=0,ROW($M$2:$M$501)-1),ROW()-1)),"")</f>
        <v/>
      </c>
      <c r="U63">
        <f t="array" ref="U63">IFERROR(INDEX($C$2:$C$501,SMALL(IF($D$2:$D$501="France",ROW($D$2:$D$501)-1),ROW()-1)),"")</f>
        <v/>
      </c>
      <c r="V63">
        <f t="array" ref="V63">IFERROR(INDEX($C$2:$C$501,SMALL(IF($D$2:$D$501="Germany",ROW($D$2:$D$501)-1),ROW()-1)),"")</f>
        <v/>
      </c>
      <c r="W63">
        <f t="array" ref="W63">IFERROR(INDEX($C$2:$C$501,SMALL(IF($D$2:$D$501="Spain",ROW($D$2:$D$501)-1),ROW()-1)),"")</f>
        <v/>
      </c>
    </row>
    <row r="64">
      <c r="A64" t="n">
        <v>63</v>
      </c>
      <c r="B64" t="inlineStr">
        <is>
          <t>Johnson</t>
        </is>
      </c>
      <c r="C64" t="n">
        <v>452</v>
      </c>
      <c r="D64" t="inlineStr">
        <is>
          <t>Spain</t>
        </is>
      </c>
      <c r="E64" t="inlineStr">
        <is>
          <t>Female</t>
        </is>
      </c>
      <c r="F64" t="n">
        <v>65</v>
      </c>
      <c r="G64" t="n">
        <v>5</v>
      </c>
      <c r="H64" t="n">
        <v>145317.32</v>
      </c>
      <c r="I64" t="n">
        <v>3</v>
      </c>
      <c r="J64" t="n">
        <v>0</v>
      </c>
      <c r="K64" t="n">
        <v>0</v>
      </c>
      <c r="L64" t="n">
        <v>60885.4</v>
      </c>
      <c r="M64" t="n">
        <v>1</v>
      </c>
      <c r="O64">
        <f>IF($M64=1,$L64,"")</f>
        <v/>
      </c>
      <c r="P64">
        <f>IF($M64=0,$L64,"")</f>
        <v/>
      </c>
      <c r="R64">
        <f t="array" ref="R64">IFERROR(INDEX($L$2:$L$501,SMALL(IF($M$2:$M$501=1,ROW($M$2:$M$501)-1),ROW()-1)),"")</f>
        <v/>
      </c>
      <c r="S64">
        <f t="array" ref="S64">IFERROR(INDEX($L$2:$L$501,SMALL(IF($M$2:$M$501=0,ROW($M$2:$M$501)-1),ROW()-1)),"")</f>
        <v/>
      </c>
      <c r="U64">
        <f t="array" ref="U64">IFERROR(INDEX($C$2:$C$501,SMALL(IF($D$2:$D$501="France",ROW($D$2:$D$501)-1),ROW()-1)),"")</f>
        <v/>
      </c>
      <c r="V64">
        <f t="array" ref="V64">IFERROR(INDEX($C$2:$C$501,SMALL(IF($D$2:$D$501="Germany",ROW($D$2:$D$501)-1),ROW()-1)),"")</f>
        <v/>
      </c>
      <c r="W64">
        <f t="array" ref="W64">IFERROR(INDEX($C$2:$C$501,SMALL(IF($D$2:$D$501="Spain",ROW($D$2:$D$501)-1),ROW()-1)),"")</f>
        <v/>
      </c>
    </row>
    <row r="65">
      <c r="A65" t="n">
        <v>64</v>
      </c>
      <c r="B65" t="inlineStr">
        <is>
          <t>Wilson</t>
        </is>
      </c>
      <c r="C65" t="n">
        <v>707</v>
      </c>
      <c r="D65" t="inlineStr">
        <is>
          <t>Spain</t>
        </is>
      </c>
      <c r="E65" t="inlineStr">
        <is>
          <t>Female</t>
        </is>
      </c>
      <c r="F65" t="n">
        <v>40</v>
      </c>
      <c r="G65" t="n">
        <v>0</v>
      </c>
      <c r="H65" t="n">
        <v>214046.15</v>
      </c>
      <c r="I65" t="n">
        <v>1</v>
      </c>
      <c r="J65" t="n">
        <v>0</v>
      </c>
      <c r="K65" t="n">
        <v>1</v>
      </c>
      <c r="L65" t="n">
        <v>86343.96000000001</v>
      </c>
      <c r="M65" t="n">
        <v>0</v>
      </c>
      <c r="O65">
        <f>IF($M65=1,$L65,"")</f>
        <v/>
      </c>
      <c r="P65">
        <f>IF($M65=0,$L65,"")</f>
        <v/>
      </c>
      <c r="R65">
        <f t="array" ref="R65">IFERROR(INDEX($L$2:$L$501,SMALL(IF($M$2:$M$501=1,ROW($M$2:$M$501)-1),ROW()-1)),"")</f>
        <v/>
      </c>
      <c r="S65">
        <f t="array" ref="S65">IFERROR(INDEX($L$2:$L$501,SMALL(IF($M$2:$M$501=0,ROW($M$2:$M$501)-1),ROW()-1)),"")</f>
        <v/>
      </c>
      <c r="U65">
        <f t="array" ref="U65">IFERROR(INDEX($C$2:$C$501,SMALL(IF($D$2:$D$501="France",ROW($D$2:$D$501)-1),ROW()-1)),"")</f>
        <v/>
      </c>
      <c r="V65">
        <f t="array" ref="V65">IFERROR(INDEX($C$2:$C$501,SMALL(IF($D$2:$D$501="Germany",ROW($D$2:$D$501)-1),ROW()-1)),"")</f>
        <v/>
      </c>
      <c r="W65">
        <f t="array" ref="W65">IFERROR(INDEX($C$2:$C$501,SMALL(IF($D$2:$D$501="Spain",ROW($D$2:$D$501)-1),ROW()-1)),"")</f>
        <v/>
      </c>
    </row>
    <row r="66">
      <c r="A66" t="n">
        <v>65</v>
      </c>
      <c r="B66" t="inlineStr">
        <is>
          <t>Taylor</t>
        </is>
      </c>
      <c r="C66" t="n">
        <v>729</v>
      </c>
      <c r="D66" t="inlineStr">
        <is>
          <t>Spain</t>
        </is>
      </c>
      <c r="E66" t="inlineStr">
        <is>
          <t>Male</t>
        </is>
      </c>
      <c r="F66" t="n">
        <v>49</v>
      </c>
      <c r="G66" t="n">
        <v>6</v>
      </c>
      <c r="H66" t="n">
        <v>139224.43</v>
      </c>
      <c r="I66" t="n">
        <v>4</v>
      </c>
      <c r="J66" t="n">
        <v>1</v>
      </c>
      <c r="K66" t="n">
        <v>1</v>
      </c>
      <c r="L66" t="n">
        <v>68374.88</v>
      </c>
      <c r="M66" t="n">
        <v>1</v>
      </c>
      <c r="O66">
        <f>IF($M66=1,$L66,"")</f>
        <v/>
      </c>
      <c r="P66">
        <f>IF($M66=0,$L66,"")</f>
        <v/>
      </c>
      <c r="R66">
        <f t="array" ref="R66">IFERROR(INDEX($L$2:$L$501,SMALL(IF($M$2:$M$501=1,ROW($M$2:$M$501)-1),ROW()-1)),"")</f>
        <v/>
      </c>
      <c r="S66">
        <f t="array" ref="S66">IFERROR(INDEX($L$2:$L$501,SMALL(IF($M$2:$M$501=0,ROW($M$2:$M$501)-1),ROW()-1)),"")</f>
        <v/>
      </c>
      <c r="U66">
        <f t="array" ref="U66">IFERROR(INDEX($C$2:$C$501,SMALL(IF($D$2:$D$501="France",ROW($D$2:$D$501)-1),ROW()-1)),"")</f>
        <v/>
      </c>
      <c r="V66">
        <f t="array" ref="V66">IFERROR(INDEX($C$2:$C$501,SMALL(IF($D$2:$D$501="Germany",ROW($D$2:$D$501)-1),ROW()-1)),"")</f>
        <v/>
      </c>
      <c r="W66">
        <f t="array" ref="W66">IFERROR(INDEX($C$2:$C$501,SMALL(IF($D$2:$D$501="Spain",ROW($D$2:$D$501)-1),ROW()-1)),"")</f>
        <v/>
      </c>
    </row>
    <row r="67">
      <c r="A67" t="n">
        <v>66</v>
      </c>
      <c r="B67" t="inlineStr">
        <is>
          <t>Taylor</t>
        </is>
      </c>
      <c r="C67" t="n">
        <v>547</v>
      </c>
      <c r="D67" t="inlineStr">
        <is>
          <t>Germany</t>
        </is>
      </c>
      <c r="E67" t="inlineStr">
        <is>
          <t>Female</t>
        </is>
      </c>
      <c r="F67" t="n">
        <v>52</v>
      </c>
      <c r="G67" t="n">
        <v>4</v>
      </c>
      <c r="H67" t="n">
        <v>226630.81</v>
      </c>
      <c r="I67" t="n">
        <v>3</v>
      </c>
      <c r="J67" t="n">
        <v>0</v>
      </c>
      <c r="K67" t="n">
        <v>0</v>
      </c>
      <c r="L67" t="n">
        <v>103458.26</v>
      </c>
      <c r="M67" t="n">
        <v>0</v>
      </c>
      <c r="O67">
        <f>IF($M67=1,$L67,"")</f>
        <v/>
      </c>
      <c r="P67">
        <f>IF($M67=0,$L67,"")</f>
        <v/>
      </c>
      <c r="R67">
        <f t="array" ref="R67">IFERROR(INDEX($L$2:$L$501,SMALL(IF($M$2:$M$501=1,ROW($M$2:$M$501)-1),ROW()-1)),"")</f>
        <v/>
      </c>
      <c r="S67">
        <f t="array" ref="S67">IFERROR(INDEX($L$2:$L$501,SMALL(IF($M$2:$M$501=0,ROW($M$2:$M$501)-1),ROW()-1)),"")</f>
        <v/>
      </c>
      <c r="U67">
        <f t="array" ref="U67">IFERROR(INDEX($C$2:$C$501,SMALL(IF($D$2:$D$501="France",ROW($D$2:$D$501)-1),ROW()-1)),"")</f>
        <v/>
      </c>
      <c r="V67">
        <f t="array" ref="V67">IFERROR(INDEX($C$2:$C$501,SMALL(IF($D$2:$D$501="Germany",ROW($D$2:$D$501)-1),ROW()-1)),"")</f>
        <v/>
      </c>
      <c r="W67">
        <f t="array" ref="W67">IFERROR(INDEX($C$2:$C$501,SMALL(IF($D$2:$D$501="Spain",ROW($D$2:$D$501)-1),ROW()-1)),"")</f>
        <v/>
      </c>
    </row>
    <row r="68">
      <c r="A68" t="n">
        <v>67</v>
      </c>
      <c r="B68" t="inlineStr">
        <is>
          <t>Jones</t>
        </is>
      </c>
      <c r="C68" t="n">
        <v>459</v>
      </c>
      <c r="D68" t="inlineStr">
        <is>
          <t>Spain</t>
        </is>
      </c>
      <c r="E68" t="inlineStr">
        <is>
          <t>Male</t>
        </is>
      </c>
      <c r="F68" t="n">
        <v>60</v>
      </c>
      <c r="G68" t="n">
        <v>10</v>
      </c>
      <c r="H68" t="n">
        <v>179198.75</v>
      </c>
      <c r="I68" t="n">
        <v>2</v>
      </c>
      <c r="J68" t="n">
        <v>1</v>
      </c>
      <c r="K68" t="n">
        <v>1</v>
      </c>
      <c r="L68" t="n">
        <v>48970.88</v>
      </c>
      <c r="M68" t="n">
        <v>1</v>
      </c>
      <c r="O68">
        <f>IF($M68=1,$L68,"")</f>
        <v/>
      </c>
      <c r="P68">
        <f>IF($M68=0,$L68,"")</f>
        <v/>
      </c>
      <c r="R68">
        <f t="array" ref="R68">IFERROR(INDEX($L$2:$L$501,SMALL(IF($M$2:$M$501=1,ROW($M$2:$M$501)-1),ROW()-1)),"")</f>
        <v/>
      </c>
      <c r="S68">
        <f t="array" ref="S68">IFERROR(INDEX($L$2:$L$501,SMALL(IF($M$2:$M$501=0,ROW($M$2:$M$501)-1),ROW()-1)),"")</f>
        <v/>
      </c>
      <c r="U68">
        <f t="array" ref="U68">IFERROR(INDEX($C$2:$C$501,SMALL(IF($D$2:$D$501="France",ROW($D$2:$D$501)-1),ROW()-1)),"")</f>
        <v/>
      </c>
      <c r="V68">
        <f t="array" ref="V68">IFERROR(INDEX($C$2:$C$501,SMALL(IF($D$2:$D$501="Germany",ROW($D$2:$D$501)-1),ROW()-1)),"")</f>
        <v/>
      </c>
      <c r="W68">
        <f t="array" ref="W68">IFERROR(INDEX($C$2:$C$501,SMALL(IF($D$2:$D$501="Spain",ROW($D$2:$D$501)-1),ROW()-1)),"")</f>
        <v/>
      </c>
    </row>
    <row r="69">
      <c r="A69" t="n">
        <v>68</v>
      </c>
      <c r="B69" t="inlineStr">
        <is>
          <t>Miller</t>
        </is>
      </c>
      <c r="C69" t="n">
        <v>679</v>
      </c>
      <c r="D69" t="inlineStr">
        <is>
          <t>France</t>
        </is>
      </c>
      <c r="E69" t="inlineStr">
        <is>
          <t>Female</t>
        </is>
      </c>
      <c r="F69" t="n">
        <v>86</v>
      </c>
      <c r="G69" t="n">
        <v>4</v>
      </c>
      <c r="H69" t="n">
        <v>225109.32</v>
      </c>
      <c r="I69" t="n">
        <v>3</v>
      </c>
      <c r="J69" t="n">
        <v>1</v>
      </c>
      <c r="K69" t="n">
        <v>0</v>
      </c>
      <c r="L69" t="n">
        <v>50593.37</v>
      </c>
      <c r="M69" t="n">
        <v>0</v>
      </c>
      <c r="O69">
        <f>IF($M69=1,$L69,"")</f>
        <v/>
      </c>
      <c r="P69">
        <f>IF($M69=0,$L69,"")</f>
        <v/>
      </c>
      <c r="R69">
        <f t="array" ref="R69">IFERROR(INDEX($L$2:$L$501,SMALL(IF($M$2:$M$501=1,ROW($M$2:$M$501)-1),ROW()-1)),"")</f>
        <v/>
      </c>
      <c r="S69">
        <f t="array" ref="S69">IFERROR(INDEX($L$2:$L$501,SMALL(IF($M$2:$M$501=0,ROW($M$2:$M$501)-1),ROW()-1)),"")</f>
        <v/>
      </c>
      <c r="U69">
        <f t="array" ref="U69">IFERROR(INDEX($C$2:$C$501,SMALL(IF($D$2:$D$501="France",ROW($D$2:$D$501)-1),ROW()-1)),"")</f>
        <v/>
      </c>
      <c r="V69">
        <f t="array" ref="V69">IFERROR(INDEX($C$2:$C$501,SMALL(IF($D$2:$D$501="Germany",ROW($D$2:$D$501)-1),ROW()-1)),"")</f>
        <v/>
      </c>
      <c r="W69">
        <f t="array" ref="W69">IFERROR(INDEX($C$2:$C$501,SMALL(IF($D$2:$D$501="Spain",ROW($D$2:$D$501)-1),ROW()-1)),"")</f>
        <v/>
      </c>
    </row>
    <row r="70">
      <c r="A70" t="n">
        <v>69</v>
      </c>
      <c r="B70" t="inlineStr">
        <is>
          <t>Wilson</t>
        </is>
      </c>
      <c r="C70" t="n">
        <v>450</v>
      </c>
      <c r="D70" t="inlineStr">
        <is>
          <t>Spain</t>
        </is>
      </c>
      <c r="E70" t="inlineStr">
        <is>
          <t>Male</t>
        </is>
      </c>
      <c r="F70" t="n">
        <v>80</v>
      </c>
      <c r="G70" t="n">
        <v>4</v>
      </c>
      <c r="H70" t="n">
        <v>128388.87</v>
      </c>
      <c r="I70" t="n">
        <v>2</v>
      </c>
      <c r="J70" t="n">
        <v>0</v>
      </c>
      <c r="K70" t="n">
        <v>0</v>
      </c>
      <c r="L70" t="n">
        <v>10848.47</v>
      </c>
      <c r="M70" t="n">
        <v>0</v>
      </c>
      <c r="O70">
        <f>IF($M70=1,$L70,"")</f>
        <v/>
      </c>
      <c r="P70">
        <f>IF($M70=0,$L70,"")</f>
        <v/>
      </c>
      <c r="R70">
        <f t="array" ref="R70">IFERROR(INDEX($L$2:$L$501,SMALL(IF($M$2:$M$501=1,ROW($M$2:$M$501)-1),ROW()-1)),"")</f>
        <v/>
      </c>
      <c r="S70">
        <f t="array" ref="S70">IFERROR(INDEX($L$2:$L$501,SMALL(IF($M$2:$M$501=0,ROW($M$2:$M$501)-1),ROW()-1)),"")</f>
        <v/>
      </c>
      <c r="U70">
        <f t="array" ref="U70">IFERROR(INDEX($C$2:$C$501,SMALL(IF($D$2:$D$501="France",ROW($D$2:$D$501)-1),ROW()-1)),"")</f>
        <v/>
      </c>
      <c r="V70">
        <f t="array" ref="V70">IFERROR(INDEX($C$2:$C$501,SMALL(IF($D$2:$D$501="Germany",ROW($D$2:$D$501)-1),ROW()-1)),"")</f>
        <v/>
      </c>
      <c r="W70">
        <f t="array" ref="W70">IFERROR(INDEX($C$2:$C$501,SMALL(IF($D$2:$D$501="Spain",ROW($D$2:$D$501)-1),ROW()-1)),"")</f>
        <v/>
      </c>
    </row>
    <row r="71">
      <c r="A71" t="n">
        <v>70</v>
      </c>
      <c r="B71" t="inlineStr">
        <is>
          <t>Williams</t>
        </is>
      </c>
      <c r="C71" t="n">
        <v>532</v>
      </c>
      <c r="D71" t="inlineStr">
        <is>
          <t>Germany</t>
        </is>
      </c>
      <c r="E71" t="inlineStr">
        <is>
          <t>Male</t>
        </is>
      </c>
      <c r="F71" t="n">
        <v>54</v>
      </c>
      <c r="G71" t="n">
        <v>7</v>
      </c>
      <c r="H71" t="n">
        <v>146834.15</v>
      </c>
      <c r="I71" t="n">
        <v>2</v>
      </c>
      <c r="J71" t="n">
        <v>1</v>
      </c>
      <c r="K71" t="n">
        <v>1</v>
      </c>
      <c r="L71" t="n">
        <v>99812.42</v>
      </c>
      <c r="M71" t="n">
        <v>1</v>
      </c>
      <c r="O71">
        <f>IF($M71=1,$L71,"")</f>
        <v/>
      </c>
      <c r="P71">
        <f>IF($M71=0,$L71,"")</f>
        <v/>
      </c>
      <c r="R71">
        <f t="array" ref="R71">IFERROR(INDEX($L$2:$L$501,SMALL(IF($M$2:$M$501=1,ROW($M$2:$M$501)-1),ROW()-1)),"")</f>
        <v/>
      </c>
      <c r="S71">
        <f t="array" ref="S71">IFERROR(INDEX($L$2:$L$501,SMALL(IF($M$2:$M$501=0,ROW($M$2:$M$501)-1),ROW()-1)),"")</f>
        <v/>
      </c>
      <c r="U71">
        <f t="array" ref="U71">IFERROR(INDEX($C$2:$C$501,SMALL(IF($D$2:$D$501="France",ROW($D$2:$D$501)-1),ROW()-1)),"")</f>
        <v/>
      </c>
      <c r="V71">
        <f t="array" ref="V71">IFERROR(INDEX($C$2:$C$501,SMALL(IF($D$2:$D$501="Germany",ROW($D$2:$D$501)-1),ROW()-1)),"")</f>
        <v/>
      </c>
      <c r="W71">
        <f t="array" ref="W71">IFERROR(INDEX($C$2:$C$501,SMALL(IF($D$2:$D$501="Spain",ROW($D$2:$D$501)-1),ROW()-1)),"")</f>
        <v/>
      </c>
    </row>
    <row r="72">
      <c r="A72" t="n">
        <v>71</v>
      </c>
      <c r="B72" t="inlineStr">
        <is>
          <t>Smith</t>
        </is>
      </c>
      <c r="C72" t="n">
        <v>683</v>
      </c>
      <c r="D72" t="inlineStr">
        <is>
          <t>France</t>
        </is>
      </c>
      <c r="E72" t="inlineStr">
        <is>
          <t>Female</t>
        </is>
      </c>
      <c r="F72" t="n">
        <v>62</v>
      </c>
      <c r="G72" t="n">
        <v>2</v>
      </c>
      <c r="H72" t="n">
        <v>88669.44</v>
      </c>
      <c r="I72" t="n">
        <v>3</v>
      </c>
      <c r="J72" t="n">
        <v>1</v>
      </c>
      <c r="K72" t="n">
        <v>0</v>
      </c>
      <c r="L72" t="n">
        <v>128437.74</v>
      </c>
      <c r="M72" t="n">
        <v>1</v>
      </c>
      <c r="O72">
        <f>IF($M72=1,$L72,"")</f>
        <v/>
      </c>
      <c r="P72">
        <f>IF($M72=0,$L72,"")</f>
        <v/>
      </c>
      <c r="R72">
        <f t="array" ref="R72">IFERROR(INDEX($L$2:$L$501,SMALL(IF($M$2:$M$501=1,ROW($M$2:$M$501)-1),ROW()-1)),"")</f>
        <v/>
      </c>
      <c r="S72">
        <f t="array" ref="S72">IFERROR(INDEX($L$2:$L$501,SMALL(IF($M$2:$M$501=0,ROW($M$2:$M$501)-1),ROW()-1)),"")</f>
        <v/>
      </c>
      <c r="U72">
        <f t="array" ref="U72">IFERROR(INDEX($C$2:$C$501,SMALL(IF($D$2:$D$501="France",ROW($D$2:$D$501)-1),ROW()-1)),"")</f>
        <v/>
      </c>
      <c r="V72">
        <f t="array" ref="V72">IFERROR(INDEX($C$2:$C$501,SMALL(IF($D$2:$D$501="Germany",ROW($D$2:$D$501)-1),ROW()-1)),"")</f>
        <v/>
      </c>
      <c r="W72">
        <f t="array" ref="W72">IFERROR(INDEX($C$2:$C$501,SMALL(IF($D$2:$D$501="Spain",ROW($D$2:$D$501)-1),ROW()-1)),"")</f>
        <v/>
      </c>
    </row>
    <row r="73">
      <c r="A73" t="n">
        <v>72</v>
      </c>
      <c r="B73" t="inlineStr">
        <is>
          <t>Jones</t>
        </is>
      </c>
      <c r="C73" t="n">
        <v>755</v>
      </c>
      <c r="D73" t="inlineStr">
        <is>
          <t>Germany</t>
        </is>
      </c>
      <c r="E73" t="inlineStr">
        <is>
          <t>Male</t>
        </is>
      </c>
      <c r="F73" t="n">
        <v>88</v>
      </c>
      <c r="G73" t="n">
        <v>1</v>
      </c>
      <c r="H73" t="n">
        <v>185926.28</v>
      </c>
      <c r="I73" t="n">
        <v>1</v>
      </c>
      <c r="J73" t="n">
        <v>1</v>
      </c>
      <c r="K73" t="n">
        <v>0</v>
      </c>
      <c r="L73" t="n">
        <v>138274.03</v>
      </c>
      <c r="M73" t="n">
        <v>1</v>
      </c>
      <c r="O73">
        <f>IF($M73=1,$L73,"")</f>
        <v/>
      </c>
      <c r="P73">
        <f>IF($M73=0,$L73,"")</f>
        <v/>
      </c>
      <c r="R73">
        <f t="array" ref="R73">IFERROR(INDEX($L$2:$L$501,SMALL(IF($M$2:$M$501=1,ROW($M$2:$M$501)-1),ROW()-1)),"")</f>
        <v/>
      </c>
      <c r="S73">
        <f t="array" ref="S73">IFERROR(INDEX($L$2:$L$501,SMALL(IF($M$2:$M$501=0,ROW($M$2:$M$501)-1),ROW()-1)),"")</f>
        <v/>
      </c>
      <c r="U73">
        <f t="array" ref="U73">IFERROR(INDEX($C$2:$C$501,SMALL(IF($D$2:$D$501="France",ROW($D$2:$D$501)-1),ROW()-1)),"")</f>
        <v/>
      </c>
      <c r="V73">
        <f t="array" ref="V73">IFERROR(INDEX($C$2:$C$501,SMALL(IF($D$2:$D$501="Germany",ROW($D$2:$D$501)-1),ROW()-1)),"")</f>
        <v/>
      </c>
      <c r="W73">
        <f t="array" ref="W73">IFERROR(INDEX($C$2:$C$501,SMALL(IF($D$2:$D$501="Spain",ROW($D$2:$D$501)-1),ROW()-1)),"")</f>
        <v/>
      </c>
    </row>
    <row r="74">
      <c r="A74" t="n">
        <v>73</v>
      </c>
      <c r="B74" t="inlineStr">
        <is>
          <t>Davis</t>
        </is>
      </c>
      <c r="C74" t="n">
        <v>509</v>
      </c>
      <c r="D74" t="inlineStr">
        <is>
          <t>Germany</t>
        </is>
      </c>
      <c r="E74" t="inlineStr">
        <is>
          <t>Female</t>
        </is>
      </c>
      <c r="F74" t="n">
        <v>24</v>
      </c>
      <c r="G74" t="n">
        <v>4</v>
      </c>
      <c r="H74" t="n">
        <v>112469.92</v>
      </c>
      <c r="I74" t="n">
        <v>4</v>
      </c>
      <c r="J74" t="n">
        <v>0</v>
      </c>
      <c r="K74" t="n">
        <v>0</v>
      </c>
      <c r="L74" t="n">
        <v>92201.91</v>
      </c>
      <c r="M74" t="n">
        <v>0</v>
      </c>
      <c r="O74">
        <f>IF($M74=1,$L74,"")</f>
        <v/>
      </c>
      <c r="P74">
        <f>IF($M74=0,$L74,"")</f>
        <v/>
      </c>
      <c r="R74">
        <f t="array" ref="R74">IFERROR(INDEX($L$2:$L$501,SMALL(IF($M$2:$M$501=1,ROW($M$2:$M$501)-1),ROW()-1)),"")</f>
        <v/>
      </c>
      <c r="S74">
        <f t="array" ref="S74">IFERROR(INDEX($L$2:$L$501,SMALL(IF($M$2:$M$501=0,ROW($M$2:$M$501)-1),ROW()-1)),"")</f>
        <v/>
      </c>
      <c r="U74">
        <f t="array" ref="U74">IFERROR(INDEX($C$2:$C$501,SMALL(IF($D$2:$D$501="France",ROW($D$2:$D$501)-1),ROW()-1)),"")</f>
        <v/>
      </c>
      <c r="V74">
        <f t="array" ref="V74">IFERROR(INDEX($C$2:$C$501,SMALL(IF($D$2:$D$501="Germany",ROW($D$2:$D$501)-1),ROW()-1)),"")</f>
        <v/>
      </c>
      <c r="W74">
        <f t="array" ref="W74">IFERROR(INDEX($C$2:$C$501,SMALL(IF($D$2:$D$501="Spain",ROW($D$2:$D$501)-1),ROW()-1)),"")</f>
        <v/>
      </c>
    </row>
    <row r="75">
      <c r="A75" t="n">
        <v>74</v>
      </c>
      <c r="B75" t="inlineStr">
        <is>
          <t>Taylor</t>
        </is>
      </c>
      <c r="C75" t="n">
        <v>431</v>
      </c>
      <c r="D75" t="inlineStr">
        <is>
          <t>Germany</t>
        </is>
      </c>
      <c r="E75" t="inlineStr">
        <is>
          <t>Male</t>
        </is>
      </c>
      <c r="F75" t="n">
        <v>66</v>
      </c>
      <c r="G75" t="n">
        <v>9</v>
      </c>
      <c r="H75" t="n">
        <v>103045.29</v>
      </c>
      <c r="I75" t="n">
        <v>2</v>
      </c>
      <c r="J75" t="n">
        <v>1</v>
      </c>
      <c r="K75" t="n">
        <v>0</v>
      </c>
      <c r="L75" t="n">
        <v>36831.44</v>
      </c>
      <c r="M75" t="n">
        <v>0</v>
      </c>
      <c r="O75">
        <f>IF($M75=1,$L75,"")</f>
        <v/>
      </c>
      <c r="P75">
        <f>IF($M75=0,$L75,"")</f>
        <v/>
      </c>
      <c r="R75">
        <f t="array" ref="R75">IFERROR(INDEX($L$2:$L$501,SMALL(IF($M$2:$M$501=1,ROW($M$2:$M$501)-1),ROW()-1)),"")</f>
        <v/>
      </c>
      <c r="S75">
        <f t="array" ref="S75">IFERROR(INDEX($L$2:$L$501,SMALL(IF($M$2:$M$501=0,ROW($M$2:$M$501)-1),ROW()-1)),"")</f>
        <v/>
      </c>
      <c r="U75">
        <f t="array" ref="U75">IFERROR(INDEX($C$2:$C$501,SMALL(IF($D$2:$D$501="France",ROW($D$2:$D$501)-1),ROW()-1)),"")</f>
        <v/>
      </c>
      <c r="V75">
        <f t="array" ref="V75">IFERROR(INDEX($C$2:$C$501,SMALL(IF($D$2:$D$501="Germany",ROW($D$2:$D$501)-1),ROW()-1)),"")</f>
        <v/>
      </c>
      <c r="W75">
        <f t="array" ref="W75">IFERROR(INDEX($C$2:$C$501,SMALL(IF($D$2:$D$501="Spain",ROW($D$2:$D$501)-1),ROW()-1)),"")</f>
        <v/>
      </c>
    </row>
    <row r="76">
      <c r="A76" t="n">
        <v>75</v>
      </c>
      <c r="B76" t="inlineStr">
        <is>
          <t>Brown</t>
        </is>
      </c>
      <c r="C76" t="n">
        <v>385</v>
      </c>
      <c r="D76" t="inlineStr">
        <is>
          <t>Germany</t>
        </is>
      </c>
      <c r="E76" t="inlineStr">
        <is>
          <t>Female</t>
        </is>
      </c>
      <c r="F76" t="n">
        <v>27</v>
      </c>
      <c r="G76" t="n">
        <v>8</v>
      </c>
      <c r="H76" t="n">
        <v>35744.7</v>
      </c>
      <c r="I76" t="n">
        <v>1</v>
      </c>
      <c r="J76" t="n">
        <v>0</v>
      </c>
      <c r="K76" t="n">
        <v>1</v>
      </c>
      <c r="L76" t="n">
        <v>67445.00999999999</v>
      </c>
      <c r="M76" t="n">
        <v>0</v>
      </c>
      <c r="O76">
        <f>IF($M76=1,$L76,"")</f>
        <v/>
      </c>
      <c r="P76">
        <f>IF($M76=0,$L76,"")</f>
        <v/>
      </c>
      <c r="R76">
        <f t="array" ref="R76">IFERROR(INDEX($L$2:$L$501,SMALL(IF($M$2:$M$501=1,ROW($M$2:$M$501)-1),ROW()-1)),"")</f>
        <v/>
      </c>
      <c r="S76">
        <f t="array" ref="S76">IFERROR(INDEX($L$2:$L$501,SMALL(IF($M$2:$M$501=0,ROW($M$2:$M$501)-1),ROW()-1)),"")</f>
        <v/>
      </c>
      <c r="U76">
        <f t="array" ref="U76">IFERROR(INDEX($C$2:$C$501,SMALL(IF($D$2:$D$501="France",ROW($D$2:$D$501)-1),ROW()-1)),"")</f>
        <v/>
      </c>
      <c r="V76">
        <f t="array" ref="V76">IFERROR(INDEX($C$2:$C$501,SMALL(IF($D$2:$D$501="Germany",ROW($D$2:$D$501)-1),ROW()-1)),"")</f>
        <v/>
      </c>
      <c r="W76">
        <f t="array" ref="W76">IFERROR(INDEX($C$2:$C$501,SMALL(IF($D$2:$D$501="Spain",ROW($D$2:$D$501)-1),ROW()-1)),"")</f>
        <v/>
      </c>
    </row>
    <row r="77">
      <c r="A77" t="n">
        <v>76</v>
      </c>
      <c r="B77" t="inlineStr">
        <is>
          <t>Brown</t>
        </is>
      </c>
      <c r="C77" t="n">
        <v>587</v>
      </c>
      <c r="D77" t="inlineStr">
        <is>
          <t>Spain</t>
        </is>
      </c>
      <c r="E77" t="inlineStr">
        <is>
          <t>Female</t>
        </is>
      </c>
      <c r="F77" t="n">
        <v>46</v>
      </c>
      <c r="G77" t="n">
        <v>4</v>
      </c>
      <c r="H77" t="n">
        <v>88638.62</v>
      </c>
      <c r="I77" t="n">
        <v>2</v>
      </c>
      <c r="J77" t="n">
        <v>1</v>
      </c>
      <c r="K77" t="n">
        <v>0</v>
      </c>
      <c r="L77" t="n">
        <v>60075.81</v>
      </c>
      <c r="M77" t="n">
        <v>0</v>
      </c>
      <c r="O77">
        <f>IF($M77=1,$L77,"")</f>
        <v/>
      </c>
      <c r="P77">
        <f>IF($M77=0,$L77,"")</f>
        <v/>
      </c>
      <c r="R77">
        <f t="array" ref="R77">IFERROR(INDEX($L$2:$L$501,SMALL(IF($M$2:$M$501=1,ROW($M$2:$M$501)-1),ROW()-1)),"")</f>
        <v/>
      </c>
      <c r="S77">
        <f t="array" ref="S77">IFERROR(INDEX($L$2:$L$501,SMALL(IF($M$2:$M$501=0,ROW($M$2:$M$501)-1),ROW()-1)),"")</f>
        <v/>
      </c>
      <c r="U77">
        <f t="array" ref="U77">IFERROR(INDEX($C$2:$C$501,SMALL(IF($D$2:$D$501="France",ROW($D$2:$D$501)-1),ROW()-1)),"")</f>
        <v/>
      </c>
      <c r="V77">
        <f t="array" ref="V77">IFERROR(INDEX($C$2:$C$501,SMALL(IF($D$2:$D$501="Germany",ROW($D$2:$D$501)-1),ROW()-1)),"")</f>
        <v/>
      </c>
      <c r="W77">
        <f t="array" ref="W77">IFERROR(INDEX($C$2:$C$501,SMALL(IF($D$2:$D$501="Spain",ROW($D$2:$D$501)-1),ROW()-1)),"")</f>
        <v/>
      </c>
    </row>
    <row r="78">
      <c r="A78" t="n">
        <v>77</v>
      </c>
      <c r="B78" t="inlineStr">
        <is>
          <t>Miller</t>
        </is>
      </c>
      <c r="C78" t="n">
        <v>593</v>
      </c>
      <c r="D78" t="inlineStr">
        <is>
          <t>Germany</t>
        </is>
      </c>
      <c r="E78" t="inlineStr">
        <is>
          <t>Female</t>
        </is>
      </c>
      <c r="F78" t="n">
        <v>74</v>
      </c>
      <c r="G78" t="n">
        <v>4</v>
      </c>
      <c r="H78" t="n">
        <v>166950.86</v>
      </c>
      <c r="I78" t="n">
        <v>4</v>
      </c>
      <c r="J78" t="n">
        <v>1</v>
      </c>
      <c r="K78" t="n">
        <v>1</v>
      </c>
      <c r="L78" t="n">
        <v>18020.81</v>
      </c>
      <c r="M78" t="n">
        <v>0</v>
      </c>
      <c r="O78">
        <f>IF($M78=1,$L78,"")</f>
        <v/>
      </c>
      <c r="P78">
        <f>IF($M78=0,$L78,"")</f>
        <v/>
      </c>
      <c r="R78">
        <f t="array" ref="R78">IFERROR(INDEX($L$2:$L$501,SMALL(IF($M$2:$M$501=1,ROW($M$2:$M$501)-1),ROW()-1)),"")</f>
        <v/>
      </c>
      <c r="S78">
        <f t="array" ref="S78">IFERROR(INDEX($L$2:$L$501,SMALL(IF($M$2:$M$501=0,ROW($M$2:$M$501)-1),ROW()-1)),"")</f>
        <v/>
      </c>
      <c r="U78">
        <f t="array" ref="U78">IFERROR(INDEX($C$2:$C$501,SMALL(IF($D$2:$D$501="France",ROW($D$2:$D$501)-1),ROW()-1)),"")</f>
        <v/>
      </c>
      <c r="V78">
        <f t="array" ref="V78">IFERROR(INDEX($C$2:$C$501,SMALL(IF($D$2:$D$501="Germany",ROW($D$2:$D$501)-1),ROW()-1)),"")</f>
        <v/>
      </c>
      <c r="W78">
        <f t="array" ref="W78">IFERROR(INDEX($C$2:$C$501,SMALL(IF($D$2:$D$501="Spain",ROW($D$2:$D$501)-1),ROW()-1)),"")</f>
        <v/>
      </c>
    </row>
    <row r="79">
      <c r="A79" t="n">
        <v>78</v>
      </c>
      <c r="B79" t="inlineStr">
        <is>
          <t>Brown</t>
        </is>
      </c>
      <c r="C79" t="n">
        <v>600</v>
      </c>
      <c r="D79" t="inlineStr">
        <is>
          <t>Spain</t>
        </is>
      </c>
      <c r="E79" t="inlineStr">
        <is>
          <t>Female</t>
        </is>
      </c>
      <c r="F79" t="n">
        <v>27</v>
      </c>
      <c r="G79" t="n">
        <v>7</v>
      </c>
      <c r="H79" t="n">
        <v>127193.14</v>
      </c>
      <c r="I79" t="n">
        <v>2</v>
      </c>
      <c r="J79" t="n">
        <v>0</v>
      </c>
      <c r="K79" t="n">
        <v>0</v>
      </c>
      <c r="L79" t="n">
        <v>11971.58</v>
      </c>
      <c r="M79" t="n">
        <v>0</v>
      </c>
      <c r="O79">
        <f>IF($M79=1,$L79,"")</f>
        <v/>
      </c>
      <c r="P79">
        <f>IF($M79=0,$L79,"")</f>
        <v/>
      </c>
      <c r="R79">
        <f t="array" ref="R79">IFERROR(INDEX($L$2:$L$501,SMALL(IF($M$2:$M$501=1,ROW($M$2:$M$501)-1),ROW()-1)),"")</f>
        <v/>
      </c>
      <c r="S79">
        <f t="array" ref="S79">IFERROR(INDEX($L$2:$L$501,SMALL(IF($M$2:$M$501=0,ROW($M$2:$M$501)-1),ROW()-1)),"")</f>
        <v/>
      </c>
      <c r="U79">
        <f t="array" ref="U79">IFERROR(INDEX($C$2:$C$501,SMALL(IF($D$2:$D$501="France",ROW($D$2:$D$501)-1),ROW()-1)),"")</f>
        <v/>
      </c>
      <c r="V79">
        <f t="array" ref="V79">IFERROR(INDEX($C$2:$C$501,SMALL(IF($D$2:$D$501="Germany",ROW($D$2:$D$501)-1),ROW()-1)),"")</f>
        <v/>
      </c>
      <c r="W79">
        <f t="array" ref="W79">IFERROR(INDEX($C$2:$C$501,SMALL(IF($D$2:$D$501="Spain",ROW($D$2:$D$501)-1),ROW()-1)),"")</f>
        <v/>
      </c>
    </row>
    <row r="80">
      <c r="A80" t="n">
        <v>79</v>
      </c>
      <c r="B80" t="inlineStr">
        <is>
          <t>Brown</t>
        </is>
      </c>
      <c r="C80" t="n">
        <v>742</v>
      </c>
      <c r="D80" t="inlineStr">
        <is>
          <t>Spain</t>
        </is>
      </c>
      <c r="E80" t="inlineStr">
        <is>
          <t>Female</t>
        </is>
      </c>
      <c r="F80" t="n">
        <v>84</v>
      </c>
      <c r="G80" t="n">
        <v>0</v>
      </c>
      <c r="H80" t="n">
        <v>129782.98</v>
      </c>
      <c r="I80" t="n">
        <v>2</v>
      </c>
      <c r="J80" t="n">
        <v>1</v>
      </c>
      <c r="K80" t="n">
        <v>1</v>
      </c>
      <c r="L80" t="n">
        <v>53475.84</v>
      </c>
      <c r="M80" t="n">
        <v>0</v>
      </c>
      <c r="O80">
        <f>IF($M80=1,$L80,"")</f>
        <v/>
      </c>
      <c r="P80">
        <f>IF($M80=0,$L80,"")</f>
        <v/>
      </c>
      <c r="R80">
        <f t="array" ref="R80">IFERROR(INDEX($L$2:$L$501,SMALL(IF($M$2:$M$501=1,ROW($M$2:$M$501)-1),ROW()-1)),"")</f>
        <v/>
      </c>
      <c r="S80">
        <f t="array" ref="S80">IFERROR(INDEX($L$2:$L$501,SMALL(IF($M$2:$M$501=0,ROW($M$2:$M$501)-1),ROW()-1)),"")</f>
        <v/>
      </c>
      <c r="U80">
        <f t="array" ref="U80">IFERROR(INDEX($C$2:$C$501,SMALL(IF($D$2:$D$501="France",ROW($D$2:$D$501)-1),ROW()-1)),"")</f>
        <v/>
      </c>
      <c r="V80">
        <f t="array" ref="V80">IFERROR(INDEX($C$2:$C$501,SMALL(IF($D$2:$D$501="Germany",ROW($D$2:$D$501)-1),ROW()-1)),"")</f>
        <v/>
      </c>
      <c r="W80">
        <f t="array" ref="W80">IFERROR(INDEX($C$2:$C$501,SMALL(IF($D$2:$D$501="Spain",ROW($D$2:$D$501)-1),ROW()-1)),"")</f>
        <v/>
      </c>
    </row>
    <row r="81">
      <c r="A81" t="n">
        <v>80</v>
      </c>
      <c r="B81" t="inlineStr">
        <is>
          <t>Jones</t>
        </is>
      </c>
      <c r="C81" t="n">
        <v>604</v>
      </c>
      <c r="D81" t="inlineStr">
        <is>
          <t>Germany</t>
        </is>
      </c>
      <c r="E81" t="inlineStr">
        <is>
          <t>Male</t>
        </is>
      </c>
      <c r="F81" t="n">
        <v>27</v>
      </c>
      <c r="G81" t="n">
        <v>7</v>
      </c>
      <c r="H81" t="n">
        <v>162041.47</v>
      </c>
      <c r="I81" t="n">
        <v>3</v>
      </c>
      <c r="J81" t="n">
        <v>1</v>
      </c>
      <c r="K81" t="n">
        <v>0</v>
      </c>
      <c r="L81" t="n">
        <v>109301.93</v>
      </c>
      <c r="M81" t="n">
        <v>1</v>
      </c>
      <c r="O81">
        <f>IF($M81=1,$L81,"")</f>
        <v/>
      </c>
      <c r="P81">
        <f>IF($M81=0,$L81,"")</f>
        <v/>
      </c>
      <c r="R81">
        <f t="array" ref="R81">IFERROR(INDEX($L$2:$L$501,SMALL(IF($M$2:$M$501=1,ROW($M$2:$M$501)-1),ROW()-1)),"")</f>
        <v/>
      </c>
      <c r="S81">
        <f t="array" ref="S81">IFERROR(INDEX($L$2:$L$501,SMALL(IF($M$2:$M$501=0,ROW($M$2:$M$501)-1),ROW()-1)),"")</f>
        <v/>
      </c>
      <c r="U81">
        <f t="array" ref="U81">IFERROR(INDEX($C$2:$C$501,SMALL(IF($D$2:$D$501="France",ROW($D$2:$D$501)-1),ROW()-1)),"")</f>
        <v/>
      </c>
      <c r="V81">
        <f t="array" ref="V81">IFERROR(INDEX($C$2:$C$501,SMALL(IF($D$2:$D$501="Germany",ROW($D$2:$D$501)-1),ROW()-1)),"")</f>
        <v/>
      </c>
      <c r="W81">
        <f t="array" ref="W81">IFERROR(INDEX($C$2:$C$501,SMALL(IF($D$2:$D$501="Spain",ROW($D$2:$D$501)-1),ROW()-1)),"")</f>
        <v/>
      </c>
    </row>
    <row r="82">
      <c r="A82" t="n">
        <v>81</v>
      </c>
      <c r="B82" t="inlineStr">
        <is>
          <t>Brown</t>
        </is>
      </c>
      <c r="C82" t="n">
        <v>631</v>
      </c>
      <c r="D82" t="inlineStr">
        <is>
          <t>France</t>
        </is>
      </c>
      <c r="E82" t="inlineStr">
        <is>
          <t>Male</t>
        </is>
      </c>
      <c r="F82" t="n">
        <v>54</v>
      </c>
      <c r="G82" t="n">
        <v>10</v>
      </c>
      <c r="H82" t="n">
        <v>68959.39</v>
      </c>
      <c r="I82" t="n">
        <v>3</v>
      </c>
      <c r="J82" t="n">
        <v>0</v>
      </c>
      <c r="K82" t="n">
        <v>0</v>
      </c>
      <c r="L82" t="n">
        <v>101131.11</v>
      </c>
      <c r="M82" t="n">
        <v>0</v>
      </c>
      <c r="O82">
        <f>IF($M82=1,$L82,"")</f>
        <v/>
      </c>
      <c r="P82">
        <f>IF($M82=0,$L82,"")</f>
        <v/>
      </c>
      <c r="R82">
        <f t="array" ref="R82">IFERROR(INDEX($L$2:$L$501,SMALL(IF($M$2:$M$501=1,ROW($M$2:$M$501)-1),ROW()-1)),"")</f>
        <v/>
      </c>
      <c r="S82">
        <f t="array" ref="S82">IFERROR(INDEX($L$2:$L$501,SMALL(IF($M$2:$M$501=0,ROW($M$2:$M$501)-1),ROW()-1)),"")</f>
        <v/>
      </c>
      <c r="U82">
        <f t="array" ref="U82">IFERROR(INDEX($C$2:$C$501,SMALL(IF($D$2:$D$501="France",ROW($D$2:$D$501)-1),ROW()-1)),"")</f>
        <v/>
      </c>
      <c r="V82">
        <f t="array" ref="V82">IFERROR(INDEX($C$2:$C$501,SMALL(IF($D$2:$D$501="Germany",ROW($D$2:$D$501)-1),ROW()-1)),"")</f>
        <v/>
      </c>
      <c r="W82">
        <f t="array" ref="W82">IFERROR(INDEX($C$2:$C$501,SMALL(IF($D$2:$D$501="Spain",ROW($D$2:$D$501)-1),ROW()-1)),"")</f>
        <v/>
      </c>
    </row>
    <row r="83">
      <c r="A83" t="n">
        <v>82</v>
      </c>
      <c r="B83" t="inlineStr">
        <is>
          <t>Brown</t>
        </is>
      </c>
      <c r="C83" t="n">
        <v>371</v>
      </c>
      <c r="D83" t="inlineStr">
        <is>
          <t>Germany</t>
        </is>
      </c>
      <c r="E83" t="inlineStr">
        <is>
          <t>Female</t>
        </is>
      </c>
      <c r="F83" t="n">
        <v>46</v>
      </c>
      <c r="G83" t="n">
        <v>8</v>
      </c>
      <c r="H83" t="n">
        <v>55186.57</v>
      </c>
      <c r="I83" t="n">
        <v>2</v>
      </c>
      <c r="J83" t="n">
        <v>1</v>
      </c>
      <c r="K83" t="n">
        <v>0</v>
      </c>
      <c r="L83" t="n">
        <v>117137.04</v>
      </c>
      <c r="M83" t="n">
        <v>0</v>
      </c>
      <c r="O83">
        <f>IF($M83=1,$L83,"")</f>
        <v/>
      </c>
      <c r="P83">
        <f>IF($M83=0,$L83,"")</f>
        <v/>
      </c>
      <c r="R83">
        <f t="array" ref="R83">IFERROR(INDEX($L$2:$L$501,SMALL(IF($M$2:$M$501=1,ROW($M$2:$M$501)-1),ROW()-1)),"")</f>
        <v/>
      </c>
      <c r="S83">
        <f t="array" ref="S83">IFERROR(INDEX($L$2:$L$501,SMALL(IF($M$2:$M$501=0,ROW($M$2:$M$501)-1),ROW()-1)),"")</f>
        <v/>
      </c>
      <c r="U83">
        <f t="array" ref="U83">IFERROR(INDEX($C$2:$C$501,SMALL(IF($D$2:$D$501="France",ROW($D$2:$D$501)-1),ROW()-1)),"")</f>
        <v/>
      </c>
      <c r="V83">
        <f t="array" ref="V83">IFERROR(INDEX($C$2:$C$501,SMALL(IF($D$2:$D$501="Germany",ROW($D$2:$D$501)-1),ROW()-1)),"")</f>
        <v/>
      </c>
      <c r="W83">
        <f t="array" ref="W83">IFERROR(INDEX($C$2:$C$501,SMALL(IF($D$2:$D$501="Spain",ROW($D$2:$D$501)-1),ROW()-1)),"")</f>
        <v/>
      </c>
    </row>
    <row r="84">
      <c r="A84" t="n">
        <v>83</v>
      </c>
      <c r="B84" t="inlineStr">
        <is>
          <t>Moore</t>
        </is>
      </c>
      <c r="C84" t="n">
        <v>779</v>
      </c>
      <c r="D84" t="inlineStr">
        <is>
          <t>Germany</t>
        </is>
      </c>
      <c r="E84" t="inlineStr">
        <is>
          <t>Male</t>
        </is>
      </c>
      <c r="F84" t="n">
        <v>82</v>
      </c>
      <c r="G84" t="n">
        <v>9</v>
      </c>
      <c r="H84" t="n">
        <v>241939.64</v>
      </c>
      <c r="I84" t="n">
        <v>4</v>
      </c>
      <c r="J84" t="n">
        <v>1</v>
      </c>
      <c r="K84" t="n">
        <v>1</v>
      </c>
      <c r="L84" t="n">
        <v>132532.96</v>
      </c>
      <c r="M84" t="n">
        <v>1</v>
      </c>
      <c r="O84">
        <f>IF($M84=1,$L84,"")</f>
        <v/>
      </c>
      <c r="P84">
        <f>IF($M84=0,$L84,"")</f>
        <v/>
      </c>
      <c r="R84">
        <f t="array" ref="R84">IFERROR(INDEX($L$2:$L$501,SMALL(IF($M$2:$M$501=1,ROW($M$2:$M$501)-1),ROW()-1)),"")</f>
        <v/>
      </c>
      <c r="S84">
        <f t="array" ref="S84">IFERROR(INDEX($L$2:$L$501,SMALL(IF($M$2:$M$501=0,ROW($M$2:$M$501)-1),ROW()-1)),"")</f>
        <v/>
      </c>
      <c r="U84">
        <f t="array" ref="U84">IFERROR(INDEX($C$2:$C$501,SMALL(IF($D$2:$D$501="France",ROW($D$2:$D$501)-1),ROW()-1)),"")</f>
        <v/>
      </c>
      <c r="V84">
        <f t="array" ref="V84">IFERROR(INDEX($C$2:$C$501,SMALL(IF($D$2:$D$501="Germany",ROW($D$2:$D$501)-1),ROW()-1)),"")</f>
        <v/>
      </c>
      <c r="W84">
        <f t="array" ref="W84">IFERROR(INDEX($C$2:$C$501,SMALL(IF($D$2:$D$501="Spain",ROW($D$2:$D$501)-1),ROW()-1)),"")</f>
        <v/>
      </c>
    </row>
    <row r="85">
      <c r="A85" t="n">
        <v>84</v>
      </c>
      <c r="B85" t="inlineStr">
        <is>
          <t>Brown</t>
        </is>
      </c>
      <c r="C85" t="n">
        <v>579</v>
      </c>
      <c r="D85" t="inlineStr">
        <is>
          <t>Spain</t>
        </is>
      </c>
      <c r="E85" t="inlineStr">
        <is>
          <t>Male</t>
        </is>
      </c>
      <c r="F85" t="n">
        <v>31</v>
      </c>
      <c r="G85" t="n">
        <v>9</v>
      </c>
      <c r="H85" t="n">
        <v>34457.83</v>
      </c>
      <c r="I85" t="n">
        <v>3</v>
      </c>
      <c r="J85" t="n">
        <v>1</v>
      </c>
      <c r="K85" t="n">
        <v>1</v>
      </c>
      <c r="L85" t="n">
        <v>142833.3</v>
      </c>
      <c r="M85" t="n">
        <v>1</v>
      </c>
      <c r="O85">
        <f>IF($M85=1,$L85,"")</f>
        <v/>
      </c>
      <c r="P85">
        <f>IF($M85=0,$L85,"")</f>
        <v/>
      </c>
      <c r="R85">
        <f t="array" ref="R85">IFERROR(INDEX($L$2:$L$501,SMALL(IF($M$2:$M$501=1,ROW($M$2:$M$501)-1),ROW()-1)),"")</f>
        <v/>
      </c>
      <c r="S85">
        <f t="array" ref="S85">IFERROR(INDEX($L$2:$L$501,SMALL(IF($M$2:$M$501=0,ROW($M$2:$M$501)-1),ROW()-1)),"")</f>
        <v/>
      </c>
      <c r="U85">
        <f t="array" ref="U85">IFERROR(INDEX($C$2:$C$501,SMALL(IF($D$2:$D$501="France",ROW($D$2:$D$501)-1),ROW()-1)),"")</f>
        <v/>
      </c>
      <c r="V85">
        <f t="array" ref="V85">IFERROR(INDEX($C$2:$C$501,SMALL(IF($D$2:$D$501="Germany",ROW($D$2:$D$501)-1),ROW()-1)),"")</f>
        <v/>
      </c>
      <c r="W85">
        <f t="array" ref="W85">IFERROR(INDEX($C$2:$C$501,SMALL(IF($D$2:$D$501="Spain",ROW($D$2:$D$501)-1),ROW()-1)),"")</f>
        <v/>
      </c>
    </row>
    <row r="86">
      <c r="A86" t="n">
        <v>85</v>
      </c>
      <c r="B86" t="inlineStr">
        <is>
          <t>Jones</t>
        </is>
      </c>
      <c r="C86" t="n">
        <v>820</v>
      </c>
      <c r="D86" t="inlineStr">
        <is>
          <t>Spain</t>
        </is>
      </c>
      <c r="E86" t="inlineStr">
        <is>
          <t>Female</t>
        </is>
      </c>
      <c r="F86" t="n">
        <v>20</v>
      </c>
      <c r="G86" t="n">
        <v>10</v>
      </c>
      <c r="H86" t="n">
        <v>20249.55</v>
      </c>
      <c r="I86" t="n">
        <v>3</v>
      </c>
      <c r="J86" t="n">
        <v>0</v>
      </c>
      <c r="K86" t="n">
        <v>0</v>
      </c>
      <c r="L86" t="n">
        <v>121737.08</v>
      </c>
      <c r="M86" t="n">
        <v>0</v>
      </c>
      <c r="O86">
        <f>IF($M86=1,$L86,"")</f>
        <v/>
      </c>
      <c r="P86">
        <f>IF($M86=0,$L86,"")</f>
        <v/>
      </c>
      <c r="R86">
        <f t="array" ref="R86">IFERROR(INDEX($L$2:$L$501,SMALL(IF($M$2:$M$501=1,ROW($M$2:$M$501)-1),ROW()-1)),"")</f>
        <v/>
      </c>
      <c r="S86">
        <f t="array" ref="S86">IFERROR(INDEX($L$2:$L$501,SMALL(IF($M$2:$M$501=0,ROW($M$2:$M$501)-1),ROW()-1)),"")</f>
        <v/>
      </c>
      <c r="U86">
        <f t="array" ref="U86">IFERROR(INDEX($C$2:$C$501,SMALL(IF($D$2:$D$501="France",ROW($D$2:$D$501)-1),ROW()-1)),"")</f>
        <v/>
      </c>
      <c r="V86">
        <f t="array" ref="V86">IFERROR(INDEX($C$2:$C$501,SMALL(IF($D$2:$D$501="Germany",ROW($D$2:$D$501)-1),ROW()-1)),"")</f>
        <v/>
      </c>
      <c r="W86">
        <f t="array" ref="W86">IFERROR(INDEX($C$2:$C$501,SMALL(IF($D$2:$D$501="Spain",ROW($D$2:$D$501)-1),ROW()-1)),"")</f>
        <v/>
      </c>
    </row>
    <row r="87">
      <c r="A87" t="n">
        <v>86</v>
      </c>
      <c r="B87" t="inlineStr">
        <is>
          <t>Wilson</t>
        </is>
      </c>
      <c r="C87" t="n">
        <v>750</v>
      </c>
      <c r="D87" t="inlineStr">
        <is>
          <t>Spain</t>
        </is>
      </c>
      <c r="E87" t="inlineStr">
        <is>
          <t>Female</t>
        </is>
      </c>
      <c r="F87" t="n">
        <v>55</v>
      </c>
      <c r="G87" t="n">
        <v>5</v>
      </c>
      <c r="H87" t="n">
        <v>175912.59</v>
      </c>
      <c r="I87" t="n">
        <v>2</v>
      </c>
      <c r="J87" t="n">
        <v>1</v>
      </c>
      <c r="K87" t="n">
        <v>1</v>
      </c>
      <c r="L87" t="n">
        <v>15679.54</v>
      </c>
      <c r="M87" t="n">
        <v>0</v>
      </c>
      <c r="O87">
        <f>IF($M87=1,$L87,"")</f>
        <v/>
      </c>
      <c r="P87">
        <f>IF($M87=0,$L87,"")</f>
        <v/>
      </c>
      <c r="R87">
        <f t="array" ref="R87">IFERROR(INDEX($L$2:$L$501,SMALL(IF($M$2:$M$501=1,ROW($M$2:$M$501)-1),ROW()-1)),"")</f>
        <v/>
      </c>
      <c r="S87">
        <f t="array" ref="S87">IFERROR(INDEX($L$2:$L$501,SMALL(IF($M$2:$M$501=0,ROW($M$2:$M$501)-1),ROW()-1)),"")</f>
        <v/>
      </c>
      <c r="U87">
        <f t="array" ref="U87">IFERROR(INDEX($C$2:$C$501,SMALL(IF($D$2:$D$501="France",ROW($D$2:$D$501)-1),ROW()-1)),"")</f>
        <v/>
      </c>
      <c r="V87">
        <f t="array" ref="V87">IFERROR(INDEX($C$2:$C$501,SMALL(IF($D$2:$D$501="Germany",ROW($D$2:$D$501)-1),ROW()-1)),"")</f>
        <v/>
      </c>
      <c r="W87">
        <f t="array" ref="W87">IFERROR(INDEX($C$2:$C$501,SMALL(IF($D$2:$D$501="Spain",ROW($D$2:$D$501)-1),ROW()-1)),"")</f>
        <v/>
      </c>
    </row>
    <row r="88">
      <c r="A88" t="n">
        <v>87</v>
      </c>
      <c r="B88" t="inlineStr">
        <is>
          <t>Davis</t>
        </is>
      </c>
      <c r="C88" t="n">
        <v>503</v>
      </c>
      <c r="D88" t="inlineStr">
        <is>
          <t>Spain</t>
        </is>
      </c>
      <c r="E88" t="inlineStr">
        <is>
          <t>Female</t>
        </is>
      </c>
      <c r="F88" t="n">
        <v>89</v>
      </c>
      <c r="G88" t="n">
        <v>2</v>
      </c>
      <c r="H88" t="n">
        <v>161781.33</v>
      </c>
      <c r="I88" t="n">
        <v>2</v>
      </c>
      <c r="J88" t="n">
        <v>0</v>
      </c>
      <c r="K88" t="n">
        <v>0</v>
      </c>
      <c r="L88" t="n">
        <v>145603.81</v>
      </c>
      <c r="M88" t="n">
        <v>1</v>
      </c>
      <c r="O88">
        <f>IF($M88=1,$L88,"")</f>
        <v/>
      </c>
      <c r="P88">
        <f>IF($M88=0,$L88,"")</f>
        <v/>
      </c>
      <c r="R88">
        <f t="array" ref="R88">IFERROR(INDEX($L$2:$L$501,SMALL(IF($M$2:$M$501=1,ROW($M$2:$M$501)-1),ROW()-1)),"")</f>
        <v/>
      </c>
      <c r="S88">
        <f t="array" ref="S88">IFERROR(INDEX($L$2:$L$501,SMALL(IF($M$2:$M$501=0,ROW($M$2:$M$501)-1),ROW()-1)),"")</f>
        <v/>
      </c>
      <c r="U88">
        <f t="array" ref="U88">IFERROR(INDEX($C$2:$C$501,SMALL(IF($D$2:$D$501="France",ROW($D$2:$D$501)-1),ROW()-1)),"")</f>
        <v/>
      </c>
      <c r="V88">
        <f t="array" ref="V88">IFERROR(INDEX($C$2:$C$501,SMALL(IF($D$2:$D$501="Germany",ROW($D$2:$D$501)-1),ROW()-1)),"")</f>
        <v/>
      </c>
      <c r="W88">
        <f t="array" ref="W88">IFERROR(INDEX($C$2:$C$501,SMALL(IF($D$2:$D$501="Spain",ROW($D$2:$D$501)-1),ROW()-1)),"")</f>
        <v/>
      </c>
    </row>
    <row r="89">
      <c r="A89" t="n">
        <v>88</v>
      </c>
      <c r="B89" t="inlineStr">
        <is>
          <t>Davis</t>
        </is>
      </c>
      <c r="C89" t="n">
        <v>844</v>
      </c>
      <c r="D89" t="inlineStr">
        <is>
          <t>Germany</t>
        </is>
      </c>
      <c r="E89" t="inlineStr">
        <is>
          <t>Female</t>
        </is>
      </c>
      <c r="F89" t="n">
        <v>21</v>
      </c>
      <c r="G89" t="n">
        <v>6</v>
      </c>
      <c r="H89" t="n">
        <v>92743.31</v>
      </c>
      <c r="I89" t="n">
        <v>4</v>
      </c>
      <c r="J89" t="n">
        <v>0</v>
      </c>
      <c r="K89" t="n">
        <v>0</v>
      </c>
      <c r="L89" t="n">
        <v>54061.89</v>
      </c>
      <c r="M89" t="n">
        <v>0</v>
      </c>
      <c r="O89">
        <f>IF($M89=1,$L89,"")</f>
        <v/>
      </c>
      <c r="P89">
        <f>IF($M89=0,$L89,"")</f>
        <v/>
      </c>
      <c r="R89">
        <f t="array" ref="R89">IFERROR(INDEX($L$2:$L$501,SMALL(IF($M$2:$M$501=1,ROW($M$2:$M$501)-1),ROW()-1)),"")</f>
        <v/>
      </c>
      <c r="S89">
        <f t="array" ref="S89">IFERROR(INDEX($L$2:$L$501,SMALL(IF($M$2:$M$501=0,ROW($M$2:$M$501)-1),ROW()-1)),"")</f>
        <v/>
      </c>
      <c r="U89">
        <f t="array" ref="U89">IFERROR(INDEX($C$2:$C$501,SMALL(IF($D$2:$D$501="France",ROW($D$2:$D$501)-1),ROW()-1)),"")</f>
        <v/>
      </c>
      <c r="V89">
        <f t="array" ref="V89">IFERROR(INDEX($C$2:$C$501,SMALL(IF($D$2:$D$501="Germany",ROW($D$2:$D$501)-1),ROW()-1)),"")</f>
        <v/>
      </c>
      <c r="W89">
        <f t="array" ref="W89">IFERROR(INDEX($C$2:$C$501,SMALL(IF($D$2:$D$501="Spain",ROW($D$2:$D$501)-1),ROW()-1)),"")</f>
        <v/>
      </c>
    </row>
    <row r="90">
      <c r="A90" t="n">
        <v>89</v>
      </c>
      <c r="B90" t="inlineStr">
        <is>
          <t>Smith</t>
        </is>
      </c>
      <c r="C90" t="n">
        <v>469</v>
      </c>
      <c r="D90" t="inlineStr">
        <is>
          <t>France</t>
        </is>
      </c>
      <c r="E90" t="inlineStr">
        <is>
          <t>Male</t>
        </is>
      </c>
      <c r="F90" t="n">
        <v>68</v>
      </c>
      <c r="G90" t="n">
        <v>9</v>
      </c>
      <c r="H90" t="n">
        <v>19196.56</v>
      </c>
      <c r="I90" t="n">
        <v>3</v>
      </c>
      <c r="J90" t="n">
        <v>1</v>
      </c>
      <c r="K90" t="n">
        <v>0</v>
      </c>
      <c r="L90" t="n">
        <v>133731.55</v>
      </c>
      <c r="M90" t="n">
        <v>1</v>
      </c>
      <c r="O90">
        <f>IF($M90=1,$L90,"")</f>
        <v/>
      </c>
      <c r="P90">
        <f>IF($M90=0,$L90,"")</f>
        <v/>
      </c>
      <c r="R90">
        <f t="array" ref="R90">IFERROR(INDEX($L$2:$L$501,SMALL(IF($M$2:$M$501=1,ROW($M$2:$M$501)-1),ROW()-1)),"")</f>
        <v/>
      </c>
      <c r="S90">
        <f t="array" ref="S90">IFERROR(INDEX($L$2:$L$501,SMALL(IF($M$2:$M$501=0,ROW($M$2:$M$501)-1),ROW()-1)),"")</f>
        <v/>
      </c>
      <c r="U90">
        <f t="array" ref="U90">IFERROR(INDEX($C$2:$C$501,SMALL(IF($D$2:$D$501="France",ROW($D$2:$D$501)-1),ROW()-1)),"")</f>
        <v/>
      </c>
      <c r="V90">
        <f t="array" ref="V90">IFERROR(INDEX($C$2:$C$501,SMALL(IF($D$2:$D$501="Germany",ROW($D$2:$D$501)-1),ROW()-1)),"")</f>
        <v/>
      </c>
      <c r="W90">
        <f t="array" ref="W90">IFERROR(INDEX($C$2:$C$501,SMALL(IF($D$2:$D$501="Spain",ROW($D$2:$D$501)-1),ROW()-1)),"")</f>
        <v/>
      </c>
    </row>
    <row r="91">
      <c r="A91" t="n">
        <v>90</v>
      </c>
      <c r="B91" t="inlineStr">
        <is>
          <t>Johnson</t>
        </is>
      </c>
      <c r="C91" t="n">
        <v>515</v>
      </c>
      <c r="D91" t="inlineStr">
        <is>
          <t>France</t>
        </is>
      </c>
      <c r="E91" t="inlineStr">
        <is>
          <t>Male</t>
        </is>
      </c>
      <c r="F91" t="n">
        <v>79</v>
      </c>
      <c r="G91" t="n">
        <v>5</v>
      </c>
      <c r="H91" t="n">
        <v>69882.49000000001</v>
      </c>
      <c r="I91" t="n">
        <v>3</v>
      </c>
      <c r="J91" t="n">
        <v>1</v>
      </c>
      <c r="K91" t="n">
        <v>0</v>
      </c>
      <c r="L91" t="n">
        <v>28817.75</v>
      </c>
      <c r="M91" t="n">
        <v>1</v>
      </c>
      <c r="O91">
        <f>IF($M91=1,$L91,"")</f>
        <v/>
      </c>
      <c r="P91">
        <f>IF($M91=0,$L91,"")</f>
        <v/>
      </c>
      <c r="R91">
        <f t="array" ref="R91">IFERROR(INDEX($L$2:$L$501,SMALL(IF($M$2:$M$501=1,ROW($M$2:$M$501)-1),ROW()-1)),"")</f>
        <v/>
      </c>
      <c r="S91">
        <f t="array" ref="S91">IFERROR(INDEX($L$2:$L$501,SMALL(IF($M$2:$M$501=0,ROW($M$2:$M$501)-1),ROW()-1)),"")</f>
        <v/>
      </c>
      <c r="U91">
        <f t="array" ref="U91">IFERROR(INDEX($C$2:$C$501,SMALL(IF($D$2:$D$501="France",ROW($D$2:$D$501)-1),ROW()-1)),"")</f>
        <v/>
      </c>
      <c r="V91">
        <f t="array" ref="V91">IFERROR(INDEX($C$2:$C$501,SMALL(IF($D$2:$D$501="Germany",ROW($D$2:$D$501)-1),ROW()-1)),"")</f>
        <v/>
      </c>
      <c r="W91">
        <f t="array" ref="W91">IFERROR(INDEX($C$2:$C$501,SMALL(IF($D$2:$D$501="Spain",ROW($D$2:$D$501)-1),ROW()-1)),"")</f>
        <v/>
      </c>
    </row>
    <row r="92">
      <c r="A92" t="n">
        <v>91</v>
      </c>
      <c r="B92" t="inlineStr">
        <is>
          <t>Davis</t>
        </is>
      </c>
      <c r="C92" t="n">
        <v>733</v>
      </c>
      <c r="D92" t="inlineStr">
        <is>
          <t>France</t>
        </is>
      </c>
      <c r="E92" t="inlineStr">
        <is>
          <t>Female</t>
        </is>
      </c>
      <c r="F92" t="n">
        <v>46</v>
      </c>
      <c r="G92" t="n">
        <v>6</v>
      </c>
      <c r="H92" t="n">
        <v>15556.14</v>
      </c>
      <c r="I92" t="n">
        <v>2</v>
      </c>
      <c r="J92" t="n">
        <v>1</v>
      </c>
      <c r="K92" t="n">
        <v>1</v>
      </c>
      <c r="L92" t="n">
        <v>101797.2</v>
      </c>
      <c r="M92" t="n">
        <v>0</v>
      </c>
      <c r="O92">
        <f>IF($M92=1,$L92,"")</f>
        <v/>
      </c>
      <c r="P92">
        <f>IF($M92=0,$L92,"")</f>
        <v/>
      </c>
      <c r="R92">
        <f t="array" ref="R92">IFERROR(INDEX($L$2:$L$501,SMALL(IF($M$2:$M$501=1,ROW($M$2:$M$501)-1),ROW()-1)),"")</f>
        <v/>
      </c>
      <c r="S92">
        <f t="array" ref="S92">IFERROR(INDEX($L$2:$L$501,SMALL(IF($M$2:$M$501=0,ROW($M$2:$M$501)-1),ROW()-1)),"")</f>
        <v/>
      </c>
      <c r="U92">
        <f t="array" ref="U92">IFERROR(INDEX($C$2:$C$501,SMALL(IF($D$2:$D$501="France",ROW($D$2:$D$501)-1),ROW()-1)),"")</f>
        <v/>
      </c>
      <c r="V92">
        <f t="array" ref="V92">IFERROR(INDEX($C$2:$C$501,SMALL(IF($D$2:$D$501="Germany",ROW($D$2:$D$501)-1),ROW()-1)),"")</f>
        <v/>
      </c>
      <c r="W92">
        <f t="array" ref="W92">IFERROR(INDEX($C$2:$C$501,SMALL(IF($D$2:$D$501="Spain",ROW($D$2:$D$501)-1),ROW()-1)),"")</f>
        <v/>
      </c>
    </row>
    <row r="93">
      <c r="A93" t="n">
        <v>92</v>
      </c>
      <c r="B93" t="inlineStr">
        <is>
          <t>Taylor</t>
        </is>
      </c>
      <c r="C93" t="n">
        <v>735</v>
      </c>
      <c r="D93" t="inlineStr">
        <is>
          <t>France</t>
        </is>
      </c>
      <c r="E93" t="inlineStr">
        <is>
          <t>Male</t>
        </is>
      </c>
      <c r="F93" t="n">
        <v>53</v>
      </c>
      <c r="G93" t="n">
        <v>10</v>
      </c>
      <c r="H93" t="n">
        <v>247280.33</v>
      </c>
      <c r="I93" t="n">
        <v>3</v>
      </c>
      <c r="J93" t="n">
        <v>1</v>
      </c>
      <c r="K93" t="n">
        <v>0</v>
      </c>
      <c r="L93" t="n">
        <v>54977.06</v>
      </c>
      <c r="M93" t="n">
        <v>0</v>
      </c>
      <c r="O93">
        <f>IF($M93=1,$L93,"")</f>
        <v/>
      </c>
      <c r="P93">
        <f>IF($M93=0,$L93,"")</f>
        <v/>
      </c>
      <c r="R93">
        <f t="array" ref="R93">IFERROR(INDEX($L$2:$L$501,SMALL(IF($M$2:$M$501=1,ROW($M$2:$M$501)-1),ROW()-1)),"")</f>
        <v/>
      </c>
      <c r="S93">
        <f t="array" ref="S93">IFERROR(INDEX($L$2:$L$501,SMALL(IF($M$2:$M$501=0,ROW($M$2:$M$501)-1),ROW()-1)),"")</f>
        <v/>
      </c>
      <c r="U93">
        <f t="array" ref="U93">IFERROR(INDEX($C$2:$C$501,SMALL(IF($D$2:$D$501="France",ROW($D$2:$D$501)-1),ROW()-1)),"")</f>
        <v/>
      </c>
      <c r="V93">
        <f t="array" ref="V93">IFERROR(INDEX($C$2:$C$501,SMALL(IF($D$2:$D$501="Germany",ROW($D$2:$D$501)-1),ROW()-1)),"")</f>
        <v/>
      </c>
      <c r="W93">
        <f t="array" ref="W93">IFERROR(INDEX($C$2:$C$501,SMALL(IF($D$2:$D$501="Spain",ROW($D$2:$D$501)-1),ROW()-1)),"")</f>
        <v/>
      </c>
    </row>
    <row r="94">
      <c r="A94" t="n">
        <v>93</v>
      </c>
      <c r="B94" t="inlineStr">
        <is>
          <t>Jones</t>
        </is>
      </c>
      <c r="C94" t="n">
        <v>739</v>
      </c>
      <c r="D94" t="inlineStr">
        <is>
          <t>Spain</t>
        </is>
      </c>
      <c r="E94" t="inlineStr">
        <is>
          <t>Male</t>
        </is>
      </c>
      <c r="F94" t="n">
        <v>71</v>
      </c>
      <c r="G94" t="n">
        <v>5</v>
      </c>
      <c r="H94" t="n">
        <v>173851.84</v>
      </c>
      <c r="I94" t="n">
        <v>2</v>
      </c>
      <c r="J94" t="n">
        <v>1</v>
      </c>
      <c r="K94" t="n">
        <v>1</v>
      </c>
      <c r="L94" t="n">
        <v>121172.65</v>
      </c>
      <c r="M94" t="n">
        <v>1</v>
      </c>
      <c r="O94">
        <f>IF($M94=1,$L94,"")</f>
        <v/>
      </c>
      <c r="P94">
        <f>IF($M94=0,$L94,"")</f>
        <v/>
      </c>
      <c r="R94">
        <f t="array" ref="R94">IFERROR(INDEX($L$2:$L$501,SMALL(IF($M$2:$M$501=1,ROW($M$2:$M$501)-1),ROW()-1)),"")</f>
        <v/>
      </c>
      <c r="S94">
        <f t="array" ref="S94">IFERROR(INDEX($L$2:$L$501,SMALL(IF($M$2:$M$501=0,ROW($M$2:$M$501)-1),ROW()-1)),"")</f>
        <v/>
      </c>
      <c r="U94">
        <f t="array" ref="U94">IFERROR(INDEX($C$2:$C$501,SMALL(IF($D$2:$D$501="France",ROW($D$2:$D$501)-1),ROW()-1)),"")</f>
        <v/>
      </c>
      <c r="V94">
        <f t="array" ref="V94">IFERROR(INDEX($C$2:$C$501,SMALL(IF($D$2:$D$501="Germany",ROW($D$2:$D$501)-1),ROW()-1)),"")</f>
        <v/>
      </c>
      <c r="W94">
        <f t="array" ref="W94">IFERROR(INDEX($C$2:$C$501,SMALL(IF($D$2:$D$501="Spain",ROW($D$2:$D$501)-1),ROW()-1)),"")</f>
        <v/>
      </c>
    </row>
    <row r="95">
      <c r="A95" t="n">
        <v>94</v>
      </c>
      <c r="B95" t="inlineStr">
        <is>
          <t>Smith</t>
        </is>
      </c>
      <c r="C95" t="n">
        <v>548</v>
      </c>
      <c r="D95" t="inlineStr">
        <is>
          <t>Germany</t>
        </is>
      </c>
      <c r="E95" t="inlineStr">
        <is>
          <t>Female</t>
        </is>
      </c>
      <c r="F95" t="n">
        <v>44</v>
      </c>
      <c r="G95" t="n">
        <v>3</v>
      </c>
      <c r="H95" t="n">
        <v>107973.28</v>
      </c>
      <c r="I95" t="n">
        <v>1</v>
      </c>
      <c r="J95" t="n">
        <v>0</v>
      </c>
      <c r="K95" t="n">
        <v>0</v>
      </c>
      <c r="L95" t="n">
        <v>27995.72</v>
      </c>
      <c r="M95" t="n">
        <v>0</v>
      </c>
      <c r="O95">
        <f>IF($M95=1,$L95,"")</f>
        <v/>
      </c>
      <c r="P95">
        <f>IF($M95=0,$L95,"")</f>
        <v/>
      </c>
      <c r="R95">
        <f t="array" ref="R95">IFERROR(INDEX($L$2:$L$501,SMALL(IF($M$2:$M$501=1,ROW($M$2:$M$501)-1),ROW()-1)),"")</f>
        <v/>
      </c>
      <c r="S95">
        <f t="array" ref="S95">IFERROR(INDEX($L$2:$L$501,SMALL(IF($M$2:$M$501=0,ROW($M$2:$M$501)-1),ROW()-1)),"")</f>
        <v/>
      </c>
      <c r="U95">
        <f t="array" ref="U95">IFERROR(INDEX($C$2:$C$501,SMALL(IF($D$2:$D$501="France",ROW($D$2:$D$501)-1),ROW()-1)),"")</f>
        <v/>
      </c>
      <c r="V95">
        <f t="array" ref="V95">IFERROR(INDEX($C$2:$C$501,SMALL(IF($D$2:$D$501="Germany",ROW($D$2:$D$501)-1),ROW()-1)),"")</f>
        <v/>
      </c>
      <c r="W95">
        <f t="array" ref="W95">IFERROR(INDEX($C$2:$C$501,SMALL(IF($D$2:$D$501="Spain",ROW($D$2:$D$501)-1),ROW()-1)),"")</f>
        <v/>
      </c>
    </row>
    <row r="96">
      <c r="A96" t="n">
        <v>95</v>
      </c>
      <c r="B96" t="inlineStr">
        <is>
          <t>Davis</t>
        </is>
      </c>
      <c r="C96" t="n">
        <v>746</v>
      </c>
      <c r="D96" t="inlineStr">
        <is>
          <t>Spain</t>
        </is>
      </c>
      <c r="E96" t="inlineStr">
        <is>
          <t>Male</t>
        </is>
      </c>
      <c r="F96" t="n">
        <v>60</v>
      </c>
      <c r="G96" t="n">
        <v>10</v>
      </c>
      <c r="H96" t="n">
        <v>229932.49</v>
      </c>
      <c r="I96" t="n">
        <v>2</v>
      </c>
      <c r="J96" t="n">
        <v>1</v>
      </c>
      <c r="K96" t="n">
        <v>0</v>
      </c>
      <c r="L96" t="n">
        <v>81112.42</v>
      </c>
      <c r="M96" t="n">
        <v>0</v>
      </c>
      <c r="O96">
        <f>IF($M96=1,$L96,"")</f>
        <v/>
      </c>
      <c r="P96">
        <f>IF($M96=0,$L96,"")</f>
        <v/>
      </c>
      <c r="R96">
        <f t="array" ref="R96">IFERROR(INDEX($L$2:$L$501,SMALL(IF($M$2:$M$501=1,ROW($M$2:$M$501)-1),ROW()-1)),"")</f>
        <v/>
      </c>
      <c r="S96">
        <f t="array" ref="S96">IFERROR(INDEX($L$2:$L$501,SMALL(IF($M$2:$M$501=0,ROW($M$2:$M$501)-1),ROW()-1)),"")</f>
        <v/>
      </c>
      <c r="U96">
        <f t="array" ref="U96">IFERROR(INDEX($C$2:$C$501,SMALL(IF($D$2:$D$501="France",ROW($D$2:$D$501)-1),ROW()-1)),"")</f>
        <v/>
      </c>
      <c r="V96">
        <f t="array" ref="V96">IFERROR(INDEX($C$2:$C$501,SMALL(IF($D$2:$D$501="Germany",ROW($D$2:$D$501)-1),ROW()-1)),"")</f>
        <v/>
      </c>
      <c r="W96">
        <f t="array" ref="W96">IFERROR(INDEX($C$2:$C$501,SMALL(IF($D$2:$D$501="Spain",ROW($D$2:$D$501)-1),ROW()-1)),"")</f>
        <v/>
      </c>
    </row>
    <row r="97">
      <c r="A97" t="n">
        <v>96</v>
      </c>
      <c r="B97" t="inlineStr">
        <is>
          <t>Smith</t>
        </is>
      </c>
      <c r="C97" t="n">
        <v>696</v>
      </c>
      <c r="D97" t="inlineStr">
        <is>
          <t>Spain</t>
        </is>
      </c>
      <c r="E97" t="inlineStr">
        <is>
          <t>Male</t>
        </is>
      </c>
      <c r="F97" t="n">
        <v>64</v>
      </c>
      <c r="G97" t="n">
        <v>3</v>
      </c>
      <c r="H97" t="n">
        <v>141361.44</v>
      </c>
      <c r="I97" t="n">
        <v>2</v>
      </c>
      <c r="J97" t="n">
        <v>1</v>
      </c>
      <c r="K97" t="n">
        <v>1</v>
      </c>
      <c r="L97" t="n">
        <v>147488.24</v>
      </c>
      <c r="M97" t="n">
        <v>1</v>
      </c>
      <c r="O97">
        <f>IF($M97=1,$L97,"")</f>
        <v/>
      </c>
      <c r="P97">
        <f>IF($M97=0,$L97,"")</f>
        <v/>
      </c>
      <c r="R97">
        <f t="array" ref="R97">IFERROR(INDEX($L$2:$L$501,SMALL(IF($M$2:$M$501=1,ROW($M$2:$M$501)-1),ROW()-1)),"")</f>
        <v/>
      </c>
      <c r="S97">
        <f t="array" ref="S97">IFERROR(INDEX($L$2:$L$501,SMALL(IF($M$2:$M$501=0,ROW($M$2:$M$501)-1),ROW()-1)),"")</f>
        <v/>
      </c>
      <c r="U97">
        <f t="array" ref="U97">IFERROR(INDEX($C$2:$C$501,SMALL(IF($D$2:$D$501="France",ROW($D$2:$D$501)-1),ROW()-1)),"")</f>
        <v/>
      </c>
      <c r="V97">
        <f t="array" ref="V97">IFERROR(INDEX($C$2:$C$501,SMALL(IF($D$2:$D$501="Germany",ROW($D$2:$D$501)-1),ROW()-1)),"")</f>
        <v/>
      </c>
      <c r="W97">
        <f t="array" ref="W97">IFERROR(INDEX($C$2:$C$501,SMALL(IF($D$2:$D$501="Spain",ROW($D$2:$D$501)-1),ROW()-1)),"")</f>
        <v/>
      </c>
    </row>
    <row r="98">
      <c r="A98" t="n">
        <v>97</v>
      </c>
      <c r="B98" t="inlineStr">
        <is>
          <t>Johnson</t>
        </is>
      </c>
      <c r="C98" t="n">
        <v>424</v>
      </c>
      <c r="D98" t="inlineStr">
        <is>
          <t>Germany</t>
        </is>
      </c>
      <c r="E98" t="inlineStr">
        <is>
          <t>Female</t>
        </is>
      </c>
      <c r="F98" t="n">
        <v>87</v>
      </c>
      <c r="G98" t="n">
        <v>10</v>
      </c>
      <c r="H98" t="n">
        <v>177818.74</v>
      </c>
      <c r="I98" t="n">
        <v>2</v>
      </c>
      <c r="J98" t="n">
        <v>0</v>
      </c>
      <c r="K98" t="n">
        <v>1</v>
      </c>
      <c r="L98" t="n">
        <v>111587.44</v>
      </c>
      <c r="M98" t="n">
        <v>1</v>
      </c>
      <c r="O98">
        <f>IF($M98=1,$L98,"")</f>
        <v/>
      </c>
      <c r="P98">
        <f>IF($M98=0,$L98,"")</f>
        <v/>
      </c>
      <c r="R98">
        <f t="array" ref="R98">IFERROR(INDEX($L$2:$L$501,SMALL(IF($M$2:$M$501=1,ROW($M$2:$M$501)-1),ROW()-1)),"")</f>
        <v/>
      </c>
      <c r="S98">
        <f t="array" ref="S98">IFERROR(INDEX($L$2:$L$501,SMALL(IF($M$2:$M$501=0,ROW($M$2:$M$501)-1),ROW()-1)),"")</f>
        <v/>
      </c>
      <c r="U98">
        <f t="array" ref="U98">IFERROR(INDEX($C$2:$C$501,SMALL(IF($D$2:$D$501="France",ROW($D$2:$D$501)-1),ROW()-1)),"")</f>
        <v/>
      </c>
      <c r="V98">
        <f t="array" ref="V98">IFERROR(INDEX($C$2:$C$501,SMALL(IF($D$2:$D$501="Germany",ROW($D$2:$D$501)-1),ROW()-1)),"")</f>
        <v/>
      </c>
      <c r="W98">
        <f t="array" ref="W98">IFERROR(INDEX($C$2:$C$501,SMALL(IF($D$2:$D$501="Spain",ROW($D$2:$D$501)-1),ROW()-1)),"")</f>
        <v/>
      </c>
    </row>
    <row r="99">
      <c r="A99" t="n">
        <v>98</v>
      </c>
      <c r="B99" t="inlineStr">
        <is>
          <t>Williams</t>
        </is>
      </c>
      <c r="C99" t="n">
        <v>788</v>
      </c>
      <c r="D99" t="inlineStr">
        <is>
          <t>Germany</t>
        </is>
      </c>
      <c r="E99" t="inlineStr">
        <is>
          <t>Male</t>
        </is>
      </c>
      <c r="F99" t="n">
        <v>46</v>
      </c>
      <c r="G99" t="n">
        <v>0</v>
      </c>
      <c r="H99" t="n">
        <v>126692.44</v>
      </c>
      <c r="I99" t="n">
        <v>1</v>
      </c>
      <c r="J99" t="n">
        <v>1</v>
      </c>
      <c r="K99" t="n">
        <v>1</v>
      </c>
      <c r="L99" t="n">
        <v>27793.35</v>
      </c>
      <c r="M99" t="n">
        <v>0</v>
      </c>
      <c r="O99">
        <f>IF($M99=1,$L99,"")</f>
        <v/>
      </c>
      <c r="P99">
        <f>IF($M99=0,$L99,"")</f>
        <v/>
      </c>
      <c r="R99">
        <f t="array" ref="R99">IFERROR(INDEX($L$2:$L$501,SMALL(IF($M$2:$M$501=1,ROW($M$2:$M$501)-1),ROW()-1)),"")</f>
        <v/>
      </c>
      <c r="S99">
        <f t="array" ref="S99">IFERROR(INDEX($L$2:$L$501,SMALL(IF($M$2:$M$501=0,ROW($M$2:$M$501)-1),ROW()-1)),"")</f>
        <v/>
      </c>
      <c r="U99">
        <f t="array" ref="U99">IFERROR(INDEX($C$2:$C$501,SMALL(IF($D$2:$D$501="France",ROW($D$2:$D$501)-1),ROW()-1)),"")</f>
        <v/>
      </c>
      <c r="V99">
        <f t="array" ref="V99">IFERROR(INDEX($C$2:$C$501,SMALL(IF($D$2:$D$501="Germany",ROW($D$2:$D$501)-1),ROW()-1)),"")</f>
        <v/>
      </c>
      <c r="W99">
        <f t="array" ref="W99">IFERROR(INDEX($C$2:$C$501,SMALL(IF($D$2:$D$501="Spain",ROW($D$2:$D$501)-1),ROW()-1)),"")</f>
        <v/>
      </c>
    </row>
    <row r="100">
      <c r="A100" t="n">
        <v>99</v>
      </c>
      <c r="B100" t="inlineStr">
        <is>
          <t>Brown</t>
        </is>
      </c>
      <c r="C100" t="n">
        <v>428</v>
      </c>
      <c r="D100" t="inlineStr">
        <is>
          <t>Germany</t>
        </is>
      </c>
      <c r="E100" t="inlineStr">
        <is>
          <t>Male</t>
        </is>
      </c>
      <c r="F100" t="n">
        <v>61</v>
      </c>
      <c r="G100" t="n">
        <v>3</v>
      </c>
      <c r="H100" t="n">
        <v>206619.49</v>
      </c>
      <c r="I100" t="n">
        <v>2</v>
      </c>
      <c r="J100" t="n">
        <v>0</v>
      </c>
      <c r="K100" t="n">
        <v>0</v>
      </c>
      <c r="L100" t="n">
        <v>102150.42</v>
      </c>
      <c r="M100" t="n">
        <v>0</v>
      </c>
      <c r="O100">
        <f>IF($M100=1,$L100,"")</f>
        <v/>
      </c>
      <c r="P100">
        <f>IF($M100=0,$L100,"")</f>
        <v/>
      </c>
      <c r="R100">
        <f t="array" ref="R100">IFERROR(INDEX($L$2:$L$501,SMALL(IF($M$2:$M$501=1,ROW($M$2:$M$501)-1),ROW()-1)),"")</f>
        <v/>
      </c>
      <c r="S100">
        <f t="array" ref="S100">IFERROR(INDEX($L$2:$L$501,SMALL(IF($M$2:$M$501=0,ROW($M$2:$M$501)-1),ROW()-1)),"")</f>
        <v/>
      </c>
      <c r="U100">
        <f t="array" ref="U100">IFERROR(INDEX($C$2:$C$501,SMALL(IF($D$2:$D$501="France",ROW($D$2:$D$501)-1),ROW()-1)),"")</f>
        <v/>
      </c>
      <c r="V100">
        <f t="array" ref="V100">IFERROR(INDEX($C$2:$C$501,SMALL(IF($D$2:$D$501="Germany",ROW($D$2:$D$501)-1),ROW()-1)),"")</f>
        <v/>
      </c>
      <c r="W100">
        <f t="array" ref="W100">IFERROR(INDEX($C$2:$C$501,SMALL(IF($D$2:$D$501="Spain",ROW($D$2:$D$501)-1),ROW()-1)),"")</f>
        <v/>
      </c>
    </row>
    <row r="101">
      <c r="A101" t="n">
        <v>100</v>
      </c>
      <c r="B101" t="inlineStr">
        <is>
          <t>Williams</t>
        </is>
      </c>
      <c r="C101" t="n">
        <v>668</v>
      </c>
      <c r="D101" t="inlineStr">
        <is>
          <t>Spain</t>
        </is>
      </c>
      <c r="E101" t="inlineStr">
        <is>
          <t>Male</t>
        </is>
      </c>
      <c r="F101" t="n">
        <v>80</v>
      </c>
      <c r="G101" t="n">
        <v>4</v>
      </c>
      <c r="H101" t="n">
        <v>245611.62</v>
      </c>
      <c r="I101" t="n">
        <v>2</v>
      </c>
      <c r="J101" t="n">
        <v>1</v>
      </c>
      <c r="K101" t="n">
        <v>0</v>
      </c>
      <c r="L101" t="n">
        <v>103995.53</v>
      </c>
      <c r="M101" t="n">
        <v>1</v>
      </c>
      <c r="O101">
        <f>IF($M101=1,$L101,"")</f>
        <v/>
      </c>
      <c r="P101">
        <f>IF($M101=0,$L101,"")</f>
        <v/>
      </c>
      <c r="R101">
        <f t="array" ref="R101">IFERROR(INDEX($L$2:$L$501,SMALL(IF($M$2:$M$501=1,ROW($M$2:$M$501)-1),ROW()-1)),"")</f>
        <v/>
      </c>
      <c r="S101">
        <f t="array" ref="S101">IFERROR(INDEX($L$2:$L$501,SMALL(IF($M$2:$M$501=0,ROW($M$2:$M$501)-1),ROW()-1)),"")</f>
        <v/>
      </c>
      <c r="U101">
        <f t="array" ref="U101">IFERROR(INDEX($C$2:$C$501,SMALL(IF($D$2:$D$501="France",ROW($D$2:$D$501)-1),ROW()-1)),"")</f>
        <v/>
      </c>
      <c r="V101">
        <f t="array" ref="V101">IFERROR(INDEX($C$2:$C$501,SMALL(IF($D$2:$D$501="Germany",ROW($D$2:$D$501)-1),ROW()-1)),"")</f>
        <v/>
      </c>
      <c r="W101">
        <f t="array" ref="W101">IFERROR(INDEX($C$2:$C$501,SMALL(IF($D$2:$D$501="Spain",ROW($D$2:$D$501)-1),ROW()-1)),"")</f>
        <v/>
      </c>
    </row>
    <row r="102">
      <c r="A102" t="n">
        <v>101</v>
      </c>
      <c r="B102" t="inlineStr">
        <is>
          <t>Smith</t>
        </is>
      </c>
      <c r="C102" t="n">
        <v>422</v>
      </c>
      <c r="D102" t="inlineStr">
        <is>
          <t>France</t>
        </is>
      </c>
      <c r="E102" t="inlineStr">
        <is>
          <t>Female</t>
        </is>
      </c>
      <c r="F102" t="n">
        <v>27</v>
      </c>
      <c r="G102" t="n">
        <v>1</v>
      </c>
      <c r="H102" t="n">
        <v>103031.97</v>
      </c>
      <c r="I102" t="n">
        <v>2</v>
      </c>
      <c r="J102" t="n">
        <v>0</v>
      </c>
      <c r="K102" t="n">
        <v>0</v>
      </c>
      <c r="L102" t="n">
        <v>125609.39</v>
      </c>
      <c r="M102" t="n">
        <v>1</v>
      </c>
      <c r="O102">
        <f>IF($M102=1,$L102,"")</f>
        <v/>
      </c>
      <c r="P102">
        <f>IF($M102=0,$L102,"")</f>
        <v/>
      </c>
      <c r="R102">
        <f t="array" ref="R102">IFERROR(INDEX($L$2:$L$501,SMALL(IF($M$2:$M$501=1,ROW($M$2:$M$501)-1),ROW()-1)),"")</f>
        <v/>
      </c>
      <c r="S102">
        <f t="array" ref="S102">IFERROR(INDEX($L$2:$L$501,SMALL(IF($M$2:$M$501=0,ROW($M$2:$M$501)-1),ROW()-1)),"")</f>
        <v/>
      </c>
      <c r="U102">
        <f t="array" ref="U102">IFERROR(INDEX($C$2:$C$501,SMALL(IF($D$2:$D$501="France",ROW($D$2:$D$501)-1),ROW()-1)),"")</f>
        <v/>
      </c>
      <c r="V102">
        <f t="array" ref="V102">IFERROR(INDEX($C$2:$C$501,SMALL(IF($D$2:$D$501="Germany",ROW($D$2:$D$501)-1),ROW()-1)),"")</f>
        <v/>
      </c>
      <c r="W102">
        <f t="array" ref="W102">IFERROR(INDEX($C$2:$C$501,SMALL(IF($D$2:$D$501="Spain",ROW($D$2:$D$501)-1),ROW()-1)),"")</f>
        <v/>
      </c>
    </row>
    <row r="103">
      <c r="A103" t="n">
        <v>102</v>
      </c>
      <c r="B103" t="inlineStr">
        <is>
          <t>Jones</t>
        </is>
      </c>
      <c r="C103" t="n">
        <v>549</v>
      </c>
      <c r="D103" t="inlineStr">
        <is>
          <t>Spain</t>
        </is>
      </c>
      <c r="E103" t="inlineStr">
        <is>
          <t>Female</t>
        </is>
      </c>
      <c r="F103" t="n">
        <v>56</v>
      </c>
      <c r="G103" t="n">
        <v>0</v>
      </c>
      <c r="H103" t="n">
        <v>36824.33</v>
      </c>
      <c r="I103" t="n">
        <v>1</v>
      </c>
      <c r="J103" t="n">
        <v>0</v>
      </c>
      <c r="K103" t="n">
        <v>1</v>
      </c>
      <c r="L103" t="n">
        <v>51542.45</v>
      </c>
      <c r="M103" t="n">
        <v>0</v>
      </c>
      <c r="O103">
        <f>IF($M103=1,$L103,"")</f>
        <v/>
      </c>
      <c r="P103">
        <f>IF($M103=0,$L103,"")</f>
        <v/>
      </c>
      <c r="R103">
        <f t="array" ref="R103">IFERROR(INDEX($L$2:$L$501,SMALL(IF($M$2:$M$501=1,ROW($M$2:$M$501)-1),ROW()-1)),"")</f>
        <v/>
      </c>
      <c r="S103">
        <f t="array" ref="S103">IFERROR(INDEX($L$2:$L$501,SMALL(IF($M$2:$M$501=0,ROW($M$2:$M$501)-1),ROW()-1)),"")</f>
        <v/>
      </c>
      <c r="U103">
        <f t="array" ref="U103">IFERROR(INDEX($C$2:$C$501,SMALL(IF($D$2:$D$501="France",ROW($D$2:$D$501)-1),ROW()-1)),"")</f>
        <v/>
      </c>
      <c r="V103">
        <f t="array" ref="V103">IFERROR(INDEX($C$2:$C$501,SMALL(IF($D$2:$D$501="Germany",ROW($D$2:$D$501)-1),ROW()-1)),"")</f>
        <v/>
      </c>
      <c r="W103">
        <f t="array" ref="W103">IFERROR(INDEX($C$2:$C$501,SMALL(IF($D$2:$D$501="Spain",ROW($D$2:$D$501)-1),ROW()-1)),"")</f>
        <v/>
      </c>
    </row>
    <row r="104">
      <c r="A104" t="n">
        <v>103</v>
      </c>
      <c r="B104" t="inlineStr">
        <is>
          <t>Williams</t>
        </is>
      </c>
      <c r="C104" t="n">
        <v>651</v>
      </c>
      <c r="D104" t="inlineStr">
        <is>
          <t>Spain</t>
        </is>
      </c>
      <c r="E104" t="inlineStr">
        <is>
          <t>Male</t>
        </is>
      </c>
      <c r="F104" t="n">
        <v>49</v>
      </c>
      <c r="G104" t="n">
        <v>10</v>
      </c>
      <c r="H104" t="n">
        <v>100461.13</v>
      </c>
      <c r="I104" t="n">
        <v>1</v>
      </c>
      <c r="J104" t="n">
        <v>0</v>
      </c>
      <c r="K104" t="n">
        <v>0</v>
      </c>
      <c r="L104" t="n">
        <v>30554.85</v>
      </c>
      <c r="M104" t="n">
        <v>0</v>
      </c>
      <c r="O104">
        <f>IF($M104=1,$L104,"")</f>
        <v/>
      </c>
      <c r="P104">
        <f>IF($M104=0,$L104,"")</f>
        <v/>
      </c>
      <c r="R104">
        <f t="array" ref="R104">IFERROR(INDEX($L$2:$L$501,SMALL(IF($M$2:$M$501=1,ROW($M$2:$M$501)-1),ROW()-1)),"")</f>
        <v/>
      </c>
      <c r="S104">
        <f t="array" ref="S104">IFERROR(INDEX($L$2:$L$501,SMALL(IF($M$2:$M$501=0,ROW($M$2:$M$501)-1),ROW()-1)),"")</f>
        <v/>
      </c>
      <c r="U104">
        <f t="array" ref="U104">IFERROR(INDEX($C$2:$C$501,SMALL(IF($D$2:$D$501="France",ROW($D$2:$D$501)-1),ROW()-1)),"")</f>
        <v/>
      </c>
      <c r="V104">
        <f t="array" ref="V104">IFERROR(INDEX($C$2:$C$501,SMALL(IF($D$2:$D$501="Germany",ROW($D$2:$D$501)-1),ROW()-1)),"")</f>
        <v/>
      </c>
      <c r="W104">
        <f t="array" ref="W104">IFERROR(INDEX($C$2:$C$501,SMALL(IF($D$2:$D$501="Spain",ROW($D$2:$D$501)-1),ROW()-1)),"")</f>
        <v/>
      </c>
    </row>
    <row r="105">
      <c r="A105" t="n">
        <v>104</v>
      </c>
      <c r="B105" t="inlineStr">
        <is>
          <t>Smith</t>
        </is>
      </c>
      <c r="C105" t="n">
        <v>483</v>
      </c>
      <c r="D105" t="inlineStr">
        <is>
          <t>Germany</t>
        </is>
      </c>
      <c r="E105" t="inlineStr">
        <is>
          <t>Female</t>
        </is>
      </c>
      <c r="F105" t="n">
        <v>40</v>
      </c>
      <c r="G105" t="n">
        <v>9</v>
      </c>
      <c r="H105" t="n">
        <v>199427.98</v>
      </c>
      <c r="I105" t="n">
        <v>4</v>
      </c>
      <c r="J105" t="n">
        <v>1</v>
      </c>
      <c r="K105" t="n">
        <v>1</v>
      </c>
      <c r="L105" t="n">
        <v>128540.03</v>
      </c>
      <c r="M105" t="n">
        <v>1</v>
      </c>
      <c r="O105">
        <f>IF($M105=1,$L105,"")</f>
        <v/>
      </c>
      <c r="P105">
        <f>IF($M105=0,$L105,"")</f>
        <v/>
      </c>
      <c r="R105">
        <f t="array" ref="R105">IFERROR(INDEX($L$2:$L$501,SMALL(IF($M$2:$M$501=1,ROW($M$2:$M$501)-1),ROW()-1)),"")</f>
        <v/>
      </c>
      <c r="S105">
        <f t="array" ref="S105">IFERROR(INDEX($L$2:$L$501,SMALL(IF($M$2:$M$501=0,ROW($M$2:$M$501)-1),ROW()-1)),"")</f>
        <v/>
      </c>
      <c r="U105">
        <f t="array" ref="U105">IFERROR(INDEX($C$2:$C$501,SMALL(IF($D$2:$D$501="France",ROW($D$2:$D$501)-1),ROW()-1)),"")</f>
        <v/>
      </c>
      <c r="V105">
        <f t="array" ref="V105">IFERROR(INDEX($C$2:$C$501,SMALL(IF($D$2:$D$501="Germany",ROW($D$2:$D$501)-1),ROW()-1)),"")</f>
        <v/>
      </c>
      <c r="W105">
        <f t="array" ref="W105">IFERROR(INDEX($C$2:$C$501,SMALL(IF($D$2:$D$501="Spain",ROW($D$2:$D$501)-1),ROW()-1)),"")</f>
        <v/>
      </c>
    </row>
    <row r="106">
      <c r="A106" t="n">
        <v>105</v>
      </c>
      <c r="B106" t="inlineStr">
        <is>
          <t>Wilson</t>
        </is>
      </c>
      <c r="C106" t="n">
        <v>397</v>
      </c>
      <c r="D106" t="inlineStr">
        <is>
          <t>Spain</t>
        </is>
      </c>
      <c r="E106" t="inlineStr">
        <is>
          <t>Male</t>
        </is>
      </c>
      <c r="F106" t="n">
        <v>75</v>
      </c>
      <c r="G106" t="n">
        <v>9</v>
      </c>
      <c r="H106" t="n">
        <v>46.68</v>
      </c>
      <c r="I106" t="n">
        <v>3</v>
      </c>
      <c r="J106" t="n">
        <v>1</v>
      </c>
      <c r="K106" t="n">
        <v>0</v>
      </c>
      <c r="L106" t="n">
        <v>61080.02</v>
      </c>
      <c r="M106" t="n">
        <v>1</v>
      </c>
      <c r="O106">
        <f>IF($M106=1,$L106,"")</f>
        <v/>
      </c>
      <c r="P106">
        <f>IF($M106=0,$L106,"")</f>
        <v/>
      </c>
      <c r="R106">
        <f t="array" ref="R106">IFERROR(INDEX($L$2:$L$501,SMALL(IF($M$2:$M$501=1,ROW($M$2:$M$501)-1),ROW()-1)),"")</f>
        <v/>
      </c>
      <c r="S106">
        <f t="array" ref="S106">IFERROR(INDEX($L$2:$L$501,SMALL(IF($M$2:$M$501=0,ROW($M$2:$M$501)-1),ROW()-1)),"")</f>
        <v/>
      </c>
      <c r="U106">
        <f t="array" ref="U106">IFERROR(INDEX($C$2:$C$501,SMALL(IF($D$2:$D$501="France",ROW($D$2:$D$501)-1),ROW()-1)),"")</f>
        <v/>
      </c>
      <c r="V106">
        <f t="array" ref="V106">IFERROR(INDEX($C$2:$C$501,SMALL(IF($D$2:$D$501="Germany",ROW($D$2:$D$501)-1),ROW()-1)),"")</f>
        <v/>
      </c>
      <c r="W106">
        <f t="array" ref="W106">IFERROR(INDEX($C$2:$C$501,SMALL(IF($D$2:$D$501="Spain",ROW($D$2:$D$501)-1),ROW()-1)),"")</f>
        <v/>
      </c>
    </row>
    <row r="107">
      <c r="A107" t="n">
        <v>106</v>
      </c>
      <c r="B107" t="inlineStr">
        <is>
          <t>Davis</t>
        </is>
      </c>
      <c r="C107" t="n">
        <v>537</v>
      </c>
      <c r="D107" t="inlineStr">
        <is>
          <t>France</t>
        </is>
      </c>
      <c r="E107" t="inlineStr">
        <is>
          <t>Female</t>
        </is>
      </c>
      <c r="F107" t="n">
        <v>39</v>
      </c>
      <c r="G107" t="n">
        <v>3</v>
      </c>
      <c r="H107" t="n">
        <v>238648.7</v>
      </c>
      <c r="I107" t="n">
        <v>1</v>
      </c>
      <c r="J107" t="n">
        <v>1</v>
      </c>
      <c r="K107" t="n">
        <v>1</v>
      </c>
      <c r="L107" t="n">
        <v>71498.5</v>
      </c>
      <c r="M107" t="n">
        <v>1</v>
      </c>
      <c r="O107">
        <f>IF($M107=1,$L107,"")</f>
        <v/>
      </c>
      <c r="P107">
        <f>IF($M107=0,$L107,"")</f>
        <v/>
      </c>
      <c r="R107">
        <f t="array" ref="R107">IFERROR(INDEX($L$2:$L$501,SMALL(IF($M$2:$M$501=1,ROW($M$2:$M$501)-1),ROW()-1)),"")</f>
        <v/>
      </c>
      <c r="S107">
        <f t="array" ref="S107">IFERROR(INDEX($L$2:$L$501,SMALL(IF($M$2:$M$501=0,ROW($M$2:$M$501)-1),ROW()-1)),"")</f>
        <v/>
      </c>
      <c r="U107">
        <f t="array" ref="U107">IFERROR(INDEX($C$2:$C$501,SMALL(IF($D$2:$D$501="France",ROW($D$2:$D$501)-1),ROW()-1)),"")</f>
        <v/>
      </c>
      <c r="V107">
        <f t="array" ref="V107">IFERROR(INDEX($C$2:$C$501,SMALL(IF($D$2:$D$501="Germany",ROW($D$2:$D$501)-1),ROW()-1)),"")</f>
        <v/>
      </c>
      <c r="W107">
        <f t="array" ref="W107">IFERROR(INDEX($C$2:$C$501,SMALL(IF($D$2:$D$501="Spain",ROW($D$2:$D$501)-1),ROW()-1)),"")</f>
        <v/>
      </c>
    </row>
    <row r="108">
      <c r="A108" t="n">
        <v>107</v>
      </c>
      <c r="B108" t="inlineStr">
        <is>
          <t>Taylor</t>
        </is>
      </c>
      <c r="C108" t="n">
        <v>520</v>
      </c>
      <c r="D108" t="inlineStr">
        <is>
          <t>France</t>
        </is>
      </c>
      <c r="E108" t="inlineStr">
        <is>
          <t>Male</t>
        </is>
      </c>
      <c r="F108" t="n">
        <v>79</v>
      </c>
      <c r="G108" t="n">
        <v>9</v>
      </c>
      <c r="H108" t="n">
        <v>165628.62</v>
      </c>
      <c r="I108" t="n">
        <v>2</v>
      </c>
      <c r="J108" t="n">
        <v>0</v>
      </c>
      <c r="K108" t="n">
        <v>0</v>
      </c>
      <c r="L108" t="n">
        <v>144375.8</v>
      </c>
      <c r="M108" t="n">
        <v>1</v>
      </c>
      <c r="O108">
        <f>IF($M108=1,$L108,"")</f>
        <v/>
      </c>
      <c r="P108">
        <f>IF($M108=0,$L108,"")</f>
        <v/>
      </c>
      <c r="R108">
        <f t="array" ref="R108">IFERROR(INDEX($L$2:$L$501,SMALL(IF($M$2:$M$501=1,ROW($M$2:$M$501)-1),ROW()-1)),"")</f>
        <v/>
      </c>
      <c r="S108">
        <f t="array" ref="S108">IFERROR(INDEX($L$2:$L$501,SMALL(IF($M$2:$M$501=0,ROW($M$2:$M$501)-1),ROW()-1)),"")</f>
        <v/>
      </c>
      <c r="U108">
        <f t="array" ref="U108">IFERROR(INDEX($C$2:$C$501,SMALL(IF($D$2:$D$501="France",ROW($D$2:$D$501)-1),ROW()-1)),"")</f>
        <v/>
      </c>
      <c r="V108">
        <f t="array" ref="V108">IFERROR(INDEX($C$2:$C$501,SMALL(IF($D$2:$D$501="Germany",ROW($D$2:$D$501)-1),ROW()-1)),"")</f>
        <v/>
      </c>
      <c r="W108">
        <f t="array" ref="W108">IFERROR(INDEX($C$2:$C$501,SMALL(IF($D$2:$D$501="Spain",ROW($D$2:$D$501)-1),ROW()-1)),"")</f>
        <v/>
      </c>
    </row>
    <row r="109">
      <c r="A109" t="n">
        <v>108</v>
      </c>
      <c r="B109" t="inlineStr">
        <is>
          <t>Smith</t>
        </is>
      </c>
      <c r="C109" t="n">
        <v>801</v>
      </c>
      <c r="D109" t="inlineStr">
        <is>
          <t>Spain</t>
        </is>
      </c>
      <c r="E109" t="inlineStr">
        <is>
          <t>Female</t>
        </is>
      </c>
      <c r="F109" t="n">
        <v>59</v>
      </c>
      <c r="G109" t="n">
        <v>10</v>
      </c>
      <c r="H109" t="n">
        <v>77661.96000000001</v>
      </c>
      <c r="I109" t="n">
        <v>2</v>
      </c>
      <c r="J109" t="n">
        <v>0</v>
      </c>
      <c r="K109" t="n">
        <v>0</v>
      </c>
      <c r="L109" t="n">
        <v>74188.75999999999</v>
      </c>
      <c r="M109" t="n">
        <v>0</v>
      </c>
      <c r="O109">
        <f>IF($M109=1,$L109,"")</f>
        <v/>
      </c>
      <c r="P109">
        <f>IF($M109=0,$L109,"")</f>
        <v/>
      </c>
      <c r="R109">
        <f t="array" ref="R109">IFERROR(INDEX($L$2:$L$501,SMALL(IF($M$2:$M$501=1,ROW($M$2:$M$501)-1),ROW()-1)),"")</f>
        <v/>
      </c>
      <c r="S109">
        <f t="array" ref="S109">IFERROR(INDEX($L$2:$L$501,SMALL(IF($M$2:$M$501=0,ROW($M$2:$M$501)-1),ROW()-1)),"")</f>
        <v/>
      </c>
      <c r="U109">
        <f t="array" ref="U109">IFERROR(INDEX($C$2:$C$501,SMALL(IF($D$2:$D$501="France",ROW($D$2:$D$501)-1),ROW()-1)),"")</f>
        <v/>
      </c>
      <c r="V109">
        <f t="array" ref="V109">IFERROR(INDEX($C$2:$C$501,SMALL(IF($D$2:$D$501="Germany",ROW($D$2:$D$501)-1),ROW()-1)),"")</f>
        <v/>
      </c>
      <c r="W109">
        <f t="array" ref="W109">IFERROR(INDEX($C$2:$C$501,SMALL(IF($D$2:$D$501="Spain",ROW($D$2:$D$501)-1),ROW()-1)),"")</f>
        <v/>
      </c>
    </row>
    <row r="110">
      <c r="A110" t="n">
        <v>109</v>
      </c>
      <c r="B110" t="inlineStr">
        <is>
          <t>Williams</t>
        </is>
      </c>
      <c r="C110" t="n">
        <v>488</v>
      </c>
      <c r="D110" t="inlineStr">
        <is>
          <t>Germany</t>
        </is>
      </c>
      <c r="E110" t="inlineStr">
        <is>
          <t>Male</t>
        </is>
      </c>
      <c r="F110" t="n">
        <v>59</v>
      </c>
      <c r="G110" t="n">
        <v>3</v>
      </c>
      <c r="H110" t="n">
        <v>122455.34</v>
      </c>
      <c r="I110" t="n">
        <v>4</v>
      </c>
      <c r="J110" t="n">
        <v>0</v>
      </c>
      <c r="K110" t="n">
        <v>1</v>
      </c>
      <c r="L110" t="n">
        <v>21425.94</v>
      </c>
      <c r="M110" t="n">
        <v>1</v>
      </c>
      <c r="O110">
        <f>IF($M110=1,$L110,"")</f>
        <v/>
      </c>
      <c r="P110">
        <f>IF($M110=0,$L110,"")</f>
        <v/>
      </c>
      <c r="R110">
        <f t="array" ref="R110">IFERROR(INDEX($L$2:$L$501,SMALL(IF($M$2:$M$501=1,ROW($M$2:$M$501)-1),ROW()-1)),"")</f>
        <v/>
      </c>
      <c r="S110">
        <f t="array" ref="S110">IFERROR(INDEX($L$2:$L$501,SMALL(IF($M$2:$M$501=0,ROW($M$2:$M$501)-1),ROW()-1)),"")</f>
        <v/>
      </c>
      <c r="U110">
        <f t="array" ref="U110">IFERROR(INDEX($C$2:$C$501,SMALL(IF($D$2:$D$501="France",ROW($D$2:$D$501)-1),ROW()-1)),"")</f>
        <v/>
      </c>
      <c r="V110">
        <f t="array" ref="V110">IFERROR(INDEX($C$2:$C$501,SMALL(IF($D$2:$D$501="Germany",ROW($D$2:$D$501)-1),ROW()-1)),"")</f>
        <v/>
      </c>
      <c r="W110">
        <f t="array" ref="W110">IFERROR(INDEX($C$2:$C$501,SMALL(IF($D$2:$D$501="Spain",ROW($D$2:$D$501)-1),ROW()-1)),"")</f>
        <v/>
      </c>
    </row>
    <row r="111">
      <c r="A111" t="n">
        <v>110</v>
      </c>
      <c r="B111" t="inlineStr">
        <is>
          <t>Wilson</t>
        </is>
      </c>
      <c r="C111" t="n">
        <v>592</v>
      </c>
      <c r="D111" t="inlineStr">
        <is>
          <t>Spain</t>
        </is>
      </c>
      <c r="E111" t="inlineStr">
        <is>
          <t>Male</t>
        </is>
      </c>
      <c r="F111" t="n">
        <v>41</v>
      </c>
      <c r="G111" t="n">
        <v>4</v>
      </c>
      <c r="H111" t="n">
        <v>66018.19</v>
      </c>
      <c r="I111" t="n">
        <v>3</v>
      </c>
      <c r="J111" t="n">
        <v>0</v>
      </c>
      <c r="K111" t="n">
        <v>0</v>
      </c>
      <c r="L111" t="n">
        <v>102543.92</v>
      </c>
      <c r="M111" t="n">
        <v>0</v>
      </c>
      <c r="O111">
        <f>IF($M111=1,$L111,"")</f>
        <v/>
      </c>
      <c r="P111">
        <f>IF($M111=0,$L111,"")</f>
        <v/>
      </c>
      <c r="R111">
        <f t="array" ref="R111">IFERROR(INDEX($L$2:$L$501,SMALL(IF($M$2:$M$501=1,ROW($M$2:$M$501)-1),ROW()-1)),"")</f>
        <v/>
      </c>
      <c r="S111">
        <f t="array" ref="S111">IFERROR(INDEX($L$2:$L$501,SMALL(IF($M$2:$M$501=0,ROW($M$2:$M$501)-1),ROW()-1)),"")</f>
        <v/>
      </c>
      <c r="U111">
        <f t="array" ref="U111">IFERROR(INDEX($C$2:$C$501,SMALL(IF($D$2:$D$501="France",ROW($D$2:$D$501)-1),ROW()-1)),"")</f>
        <v/>
      </c>
      <c r="V111">
        <f t="array" ref="V111">IFERROR(INDEX($C$2:$C$501,SMALL(IF($D$2:$D$501="Germany",ROW($D$2:$D$501)-1),ROW()-1)),"")</f>
        <v/>
      </c>
      <c r="W111">
        <f t="array" ref="W111">IFERROR(INDEX($C$2:$C$501,SMALL(IF($D$2:$D$501="Spain",ROW($D$2:$D$501)-1),ROW()-1)),"")</f>
        <v/>
      </c>
    </row>
    <row r="112">
      <c r="A112" t="n">
        <v>111</v>
      </c>
      <c r="B112" t="inlineStr">
        <is>
          <t>Williams</t>
        </is>
      </c>
      <c r="C112" t="n">
        <v>663</v>
      </c>
      <c r="D112" t="inlineStr">
        <is>
          <t>France</t>
        </is>
      </c>
      <c r="E112" t="inlineStr">
        <is>
          <t>Female</t>
        </is>
      </c>
      <c r="F112" t="n">
        <v>70</v>
      </c>
      <c r="G112" t="n">
        <v>6</v>
      </c>
      <c r="H112" t="n">
        <v>108982.82</v>
      </c>
      <c r="I112" t="n">
        <v>4</v>
      </c>
      <c r="J112" t="n">
        <v>0</v>
      </c>
      <c r="K112" t="n">
        <v>0</v>
      </c>
      <c r="L112" t="n">
        <v>110349.05</v>
      </c>
      <c r="M112" t="n">
        <v>1</v>
      </c>
      <c r="O112">
        <f>IF($M112=1,$L112,"")</f>
        <v/>
      </c>
      <c r="P112">
        <f>IF($M112=0,$L112,"")</f>
        <v/>
      </c>
      <c r="R112">
        <f t="array" ref="R112">IFERROR(INDEX($L$2:$L$501,SMALL(IF($M$2:$M$501=1,ROW($M$2:$M$501)-1),ROW()-1)),"")</f>
        <v/>
      </c>
      <c r="S112">
        <f t="array" ref="S112">IFERROR(INDEX($L$2:$L$501,SMALL(IF($M$2:$M$501=0,ROW($M$2:$M$501)-1),ROW()-1)),"")</f>
        <v/>
      </c>
      <c r="U112">
        <f t="array" ref="U112">IFERROR(INDEX($C$2:$C$501,SMALL(IF($D$2:$D$501="France",ROW($D$2:$D$501)-1),ROW()-1)),"")</f>
        <v/>
      </c>
      <c r="V112">
        <f t="array" ref="V112">IFERROR(INDEX($C$2:$C$501,SMALL(IF($D$2:$D$501="Germany",ROW($D$2:$D$501)-1),ROW()-1)),"")</f>
        <v/>
      </c>
      <c r="W112">
        <f t="array" ref="W112">IFERROR(INDEX($C$2:$C$501,SMALL(IF($D$2:$D$501="Spain",ROW($D$2:$D$501)-1),ROW()-1)),"")</f>
        <v/>
      </c>
    </row>
    <row r="113">
      <c r="A113" t="n">
        <v>112</v>
      </c>
      <c r="B113" t="inlineStr">
        <is>
          <t>Taylor</t>
        </is>
      </c>
      <c r="C113" t="n">
        <v>825</v>
      </c>
      <c r="D113" t="inlineStr">
        <is>
          <t>France</t>
        </is>
      </c>
      <c r="E113" t="inlineStr">
        <is>
          <t>Male</t>
        </is>
      </c>
      <c r="F113" t="n">
        <v>41</v>
      </c>
      <c r="G113" t="n">
        <v>5</v>
      </c>
      <c r="H113" t="n">
        <v>159554.78</v>
      </c>
      <c r="I113" t="n">
        <v>3</v>
      </c>
      <c r="J113" t="n">
        <v>0</v>
      </c>
      <c r="K113" t="n">
        <v>1</v>
      </c>
      <c r="L113" t="n">
        <v>75419.12</v>
      </c>
      <c r="M113" t="n">
        <v>0</v>
      </c>
      <c r="O113">
        <f>IF($M113=1,$L113,"")</f>
        <v/>
      </c>
      <c r="P113">
        <f>IF($M113=0,$L113,"")</f>
        <v/>
      </c>
      <c r="R113">
        <f t="array" ref="R113">IFERROR(INDEX($L$2:$L$501,SMALL(IF($M$2:$M$501=1,ROW($M$2:$M$501)-1),ROW()-1)),"")</f>
        <v/>
      </c>
      <c r="S113">
        <f t="array" ref="S113">IFERROR(INDEX($L$2:$L$501,SMALL(IF($M$2:$M$501=0,ROW($M$2:$M$501)-1),ROW()-1)),"")</f>
        <v/>
      </c>
      <c r="U113">
        <f t="array" ref="U113">IFERROR(INDEX($C$2:$C$501,SMALL(IF($D$2:$D$501="France",ROW($D$2:$D$501)-1),ROW()-1)),"")</f>
        <v/>
      </c>
      <c r="V113">
        <f t="array" ref="V113">IFERROR(INDEX($C$2:$C$501,SMALL(IF($D$2:$D$501="Germany",ROW($D$2:$D$501)-1),ROW()-1)),"")</f>
        <v/>
      </c>
      <c r="W113">
        <f t="array" ref="W113">IFERROR(INDEX($C$2:$C$501,SMALL(IF($D$2:$D$501="Spain",ROW($D$2:$D$501)-1),ROW()-1)),"")</f>
        <v/>
      </c>
    </row>
    <row r="114">
      <c r="A114" t="n">
        <v>113</v>
      </c>
      <c r="B114" t="inlineStr">
        <is>
          <t>Williams</t>
        </is>
      </c>
      <c r="C114" t="n">
        <v>695</v>
      </c>
      <c r="D114" t="inlineStr">
        <is>
          <t>Spain</t>
        </is>
      </c>
      <c r="E114" t="inlineStr">
        <is>
          <t>Male</t>
        </is>
      </c>
      <c r="F114" t="n">
        <v>90</v>
      </c>
      <c r="G114" t="n">
        <v>7</v>
      </c>
      <c r="H114" t="n">
        <v>168519.32</v>
      </c>
      <c r="I114" t="n">
        <v>2</v>
      </c>
      <c r="J114" t="n">
        <v>1</v>
      </c>
      <c r="K114" t="n">
        <v>0</v>
      </c>
      <c r="L114" t="n">
        <v>108422.12</v>
      </c>
      <c r="M114" t="n">
        <v>0</v>
      </c>
      <c r="O114">
        <f>IF($M114=1,$L114,"")</f>
        <v/>
      </c>
      <c r="P114">
        <f>IF($M114=0,$L114,"")</f>
        <v/>
      </c>
      <c r="R114">
        <f t="array" ref="R114">IFERROR(INDEX($L$2:$L$501,SMALL(IF($M$2:$M$501=1,ROW($M$2:$M$501)-1),ROW()-1)),"")</f>
        <v/>
      </c>
      <c r="S114">
        <f t="array" ref="S114">IFERROR(INDEX($L$2:$L$501,SMALL(IF($M$2:$M$501=0,ROW($M$2:$M$501)-1),ROW()-1)),"")</f>
        <v/>
      </c>
      <c r="U114">
        <f t="array" ref="U114">IFERROR(INDEX($C$2:$C$501,SMALL(IF($D$2:$D$501="France",ROW($D$2:$D$501)-1),ROW()-1)),"")</f>
        <v/>
      </c>
      <c r="V114">
        <f t="array" ref="V114">IFERROR(INDEX($C$2:$C$501,SMALL(IF($D$2:$D$501="Germany",ROW($D$2:$D$501)-1),ROW()-1)),"")</f>
        <v/>
      </c>
      <c r="W114">
        <f t="array" ref="W114">IFERROR(INDEX($C$2:$C$501,SMALL(IF($D$2:$D$501="Spain",ROW($D$2:$D$501)-1),ROW()-1)),"")</f>
        <v/>
      </c>
    </row>
    <row r="115">
      <c r="A115" t="n">
        <v>114</v>
      </c>
      <c r="B115" t="inlineStr">
        <is>
          <t>Jones</t>
        </is>
      </c>
      <c r="C115" t="n">
        <v>737</v>
      </c>
      <c r="D115" t="inlineStr">
        <is>
          <t>France</t>
        </is>
      </c>
      <c r="E115" t="inlineStr">
        <is>
          <t>Female</t>
        </is>
      </c>
      <c r="F115" t="n">
        <v>59</v>
      </c>
      <c r="G115" t="n">
        <v>1</v>
      </c>
      <c r="H115" t="n">
        <v>80693.34</v>
      </c>
      <c r="I115" t="n">
        <v>4</v>
      </c>
      <c r="J115" t="n">
        <v>0</v>
      </c>
      <c r="K115" t="n">
        <v>1</v>
      </c>
      <c r="L115" t="n">
        <v>65451.93</v>
      </c>
      <c r="M115" t="n">
        <v>0</v>
      </c>
      <c r="O115">
        <f>IF($M115=1,$L115,"")</f>
        <v/>
      </c>
      <c r="P115">
        <f>IF($M115=0,$L115,"")</f>
        <v/>
      </c>
      <c r="R115">
        <f t="array" ref="R115">IFERROR(INDEX($L$2:$L$501,SMALL(IF($M$2:$M$501=1,ROW($M$2:$M$501)-1),ROW()-1)),"")</f>
        <v/>
      </c>
      <c r="S115">
        <f t="array" ref="S115">IFERROR(INDEX($L$2:$L$501,SMALL(IF($M$2:$M$501=0,ROW($M$2:$M$501)-1),ROW()-1)),"")</f>
        <v/>
      </c>
      <c r="U115">
        <f t="array" ref="U115">IFERROR(INDEX($C$2:$C$501,SMALL(IF($D$2:$D$501="France",ROW($D$2:$D$501)-1),ROW()-1)),"")</f>
        <v/>
      </c>
      <c r="V115">
        <f t="array" ref="V115">IFERROR(INDEX($C$2:$C$501,SMALL(IF($D$2:$D$501="Germany",ROW($D$2:$D$501)-1),ROW()-1)),"")</f>
        <v/>
      </c>
      <c r="W115">
        <f t="array" ref="W115">IFERROR(INDEX($C$2:$C$501,SMALL(IF($D$2:$D$501="Spain",ROW($D$2:$D$501)-1),ROW()-1)),"")</f>
        <v/>
      </c>
    </row>
    <row r="116">
      <c r="A116" t="n">
        <v>115</v>
      </c>
      <c r="B116" t="inlineStr">
        <is>
          <t>Jones</t>
        </is>
      </c>
      <c r="C116" t="n">
        <v>475</v>
      </c>
      <c r="D116" t="inlineStr">
        <is>
          <t>Spain</t>
        </is>
      </c>
      <c r="E116" t="inlineStr">
        <is>
          <t>Female</t>
        </is>
      </c>
      <c r="F116" t="n">
        <v>78</v>
      </c>
      <c r="G116" t="n">
        <v>5</v>
      </c>
      <c r="H116" t="n">
        <v>5741.56</v>
      </c>
      <c r="I116" t="n">
        <v>3</v>
      </c>
      <c r="J116" t="n">
        <v>0</v>
      </c>
      <c r="K116" t="n">
        <v>1</v>
      </c>
      <c r="L116" t="n">
        <v>136090.56</v>
      </c>
      <c r="M116" t="n">
        <v>0</v>
      </c>
      <c r="O116">
        <f>IF($M116=1,$L116,"")</f>
        <v/>
      </c>
      <c r="P116">
        <f>IF($M116=0,$L116,"")</f>
        <v/>
      </c>
      <c r="R116">
        <f t="array" ref="R116">IFERROR(INDEX($L$2:$L$501,SMALL(IF($M$2:$M$501=1,ROW($M$2:$M$501)-1),ROW()-1)),"")</f>
        <v/>
      </c>
      <c r="S116">
        <f t="array" ref="S116">IFERROR(INDEX($L$2:$L$501,SMALL(IF($M$2:$M$501=0,ROW($M$2:$M$501)-1),ROW()-1)),"")</f>
        <v/>
      </c>
      <c r="U116">
        <f t="array" ref="U116">IFERROR(INDEX($C$2:$C$501,SMALL(IF($D$2:$D$501="France",ROW($D$2:$D$501)-1),ROW()-1)),"")</f>
        <v/>
      </c>
      <c r="V116">
        <f t="array" ref="V116">IFERROR(INDEX($C$2:$C$501,SMALL(IF($D$2:$D$501="Germany",ROW($D$2:$D$501)-1),ROW()-1)),"")</f>
        <v/>
      </c>
      <c r="W116">
        <f t="array" ref="W116">IFERROR(INDEX($C$2:$C$501,SMALL(IF($D$2:$D$501="Spain",ROW($D$2:$D$501)-1),ROW()-1)),"")</f>
        <v/>
      </c>
    </row>
    <row r="117">
      <c r="A117" t="n">
        <v>116</v>
      </c>
      <c r="B117" t="inlineStr">
        <is>
          <t>Williams</t>
        </is>
      </c>
      <c r="C117" t="n">
        <v>556</v>
      </c>
      <c r="D117" t="inlineStr">
        <is>
          <t>France</t>
        </is>
      </c>
      <c r="E117" t="inlineStr">
        <is>
          <t>Male</t>
        </is>
      </c>
      <c r="F117" t="n">
        <v>65</v>
      </c>
      <c r="G117" t="n">
        <v>7</v>
      </c>
      <c r="H117" t="n">
        <v>94298.58</v>
      </c>
      <c r="I117" t="n">
        <v>1</v>
      </c>
      <c r="J117" t="n">
        <v>1</v>
      </c>
      <c r="K117" t="n">
        <v>0</v>
      </c>
      <c r="L117" t="n">
        <v>117883.52</v>
      </c>
      <c r="M117" t="n">
        <v>1</v>
      </c>
      <c r="O117">
        <f>IF($M117=1,$L117,"")</f>
        <v/>
      </c>
      <c r="P117">
        <f>IF($M117=0,$L117,"")</f>
        <v/>
      </c>
      <c r="R117">
        <f t="array" ref="R117">IFERROR(INDEX($L$2:$L$501,SMALL(IF($M$2:$M$501=1,ROW($M$2:$M$501)-1),ROW()-1)),"")</f>
        <v/>
      </c>
      <c r="S117">
        <f t="array" ref="S117">IFERROR(INDEX($L$2:$L$501,SMALL(IF($M$2:$M$501=0,ROW($M$2:$M$501)-1),ROW()-1)),"")</f>
        <v/>
      </c>
      <c r="U117">
        <f t="array" ref="U117">IFERROR(INDEX($C$2:$C$501,SMALL(IF($D$2:$D$501="France",ROW($D$2:$D$501)-1),ROW()-1)),"")</f>
        <v/>
      </c>
      <c r="V117">
        <f t="array" ref="V117">IFERROR(INDEX($C$2:$C$501,SMALL(IF($D$2:$D$501="Germany",ROW($D$2:$D$501)-1),ROW()-1)),"")</f>
        <v/>
      </c>
      <c r="W117">
        <f t="array" ref="W117">IFERROR(INDEX($C$2:$C$501,SMALL(IF($D$2:$D$501="Spain",ROW($D$2:$D$501)-1),ROW()-1)),"")</f>
        <v/>
      </c>
    </row>
    <row r="118">
      <c r="A118" t="n">
        <v>117</v>
      </c>
      <c r="B118" t="inlineStr">
        <is>
          <t>Jones</t>
        </is>
      </c>
      <c r="C118" t="n">
        <v>688</v>
      </c>
      <c r="D118" t="inlineStr">
        <is>
          <t>Germany</t>
        </is>
      </c>
      <c r="E118" t="inlineStr">
        <is>
          <t>Male</t>
        </is>
      </c>
      <c r="F118" t="n">
        <v>33</v>
      </c>
      <c r="G118" t="n">
        <v>6</v>
      </c>
      <c r="H118" t="n">
        <v>93844.5</v>
      </c>
      <c r="I118" t="n">
        <v>4</v>
      </c>
      <c r="J118" t="n">
        <v>1</v>
      </c>
      <c r="K118" t="n">
        <v>0</v>
      </c>
      <c r="L118" t="n">
        <v>49103.38</v>
      </c>
      <c r="M118" t="n">
        <v>1</v>
      </c>
      <c r="O118">
        <f>IF($M118=1,$L118,"")</f>
        <v/>
      </c>
      <c r="P118">
        <f>IF($M118=0,$L118,"")</f>
        <v/>
      </c>
      <c r="R118">
        <f t="array" ref="R118">IFERROR(INDEX($L$2:$L$501,SMALL(IF($M$2:$M$501=1,ROW($M$2:$M$501)-1),ROW()-1)),"")</f>
        <v/>
      </c>
      <c r="S118">
        <f t="array" ref="S118">IFERROR(INDEX($L$2:$L$501,SMALL(IF($M$2:$M$501=0,ROW($M$2:$M$501)-1),ROW()-1)),"")</f>
        <v/>
      </c>
      <c r="U118">
        <f t="array" ref="U118">IFERROR(INDEX($C$2:$C$501,SMALL(IF($D$2:$D$501="France",ROW($D$2:$D$501)-1),ROW()-1)),"")</f>
        <v/>
      </c>
      <c r="V118">
        <f t="array" ref="V118">IFERROR(INDEX($C$2:$C$501,SMALL(IF($D$2:$D$501="Germany",ROW($D$2:$D$501)-1),ROW()-1)),"")</f>
        <v/>
      </c>
      <c r="W118">
        <f t="array" ref="W118">IFERROR(INDEX($C$2:$C$501,SMALL(IF($D$2:$D$501="Spain",ROW($D$2:$D$501)-1),ROW()-1)),"")</f>
        <v/>
      </c>
    </row>
    <row r="119">
      <c r="A119" t="n">
        <v>118</v>
      </c>
      <c r="B119" t="inlineStr">
        <is>
          <t>Brown</t>
        </is>
      </c>
      <c r="C119" t="n">
        <v>547</v>
      </c>
      <c r="D119" t="inlineStr">
        <is>
          <t>France</t>
        </is>
      </c>
      <c r="E119" t="inlineStr">
        <is>
          <t>Male</t>
        </is>
      </c>
      <c r="F119" t="n">
        <v>54</v>
      </c>
      <c r="G119" t="n">
        <v>6</v>
      </c>
      <c r="H119" t="n">
        <v>103006.1</v>
      </c>
      <c r="I119" t="n">
        <v>2</v>
      </c>
      <c r="J119" t="n">
        <v>1</v>
      </c>
      <c r="K119" t="n">
        <v>1</v>
      </c>
      <c r="L119" t="n">
        <v>76101.24000000001</v>
      </c>
      <c r="M119" t="n">
        <v>1</v>
      </c>
      <c r="O119">
        <f>IF($M119=1,$L119,"")</f>
        <v/>
      </c>
      <c r="P119">
        <f>IF($M119=0,$L119,"")</f>
        <v/>
      </c>
      <c r="R119">
        <f t="array" ref="R119">IFERROR(INDEX($L$2:$L$501,SMALL(IF($M$2:$M$501=1,ROW($M$2:$M$501)-1),ROW()-1)),"")</f>
        <v/>
      </c>
      <c r="S119">
        <f t="array" ref="S119">IFERROR(INDEX($L$2:$L$501,SMALL(IF($M$2:$M$501=0,ROW($M$2:$M$501)-1),ROW()-1)),"")</f>
        <v/>
      </c>
      <c r="U119">
        <f t="array" ref="U119">IFERROR(INDEX($C$2:$C$501,SMALL(IF($D$2:$D$501="France",ROW($D$2:$D$501)-1),ROW()-1)),"")</f>
        <v/>
      </c>
      <c r="V119">
        <f t="array" ref="V119">IFERROR(INDEX($C$2:$C$501,SMALL(IF($D$2:$D$501="Germany",ROW($D$2:$D$501)-1),ROW()-1)),"")</f>
        <v/>
      </c>
      <c r="W119">
        <f t="array" ref="W119">IFERROR(INDEX($C$2:$C$501,SMALL(IF($D$2:$D$501="Spain",ROW($D$2:$D$501)-1),ROW()-1)),"")</f>
        <v/>
      </c>
    </row>
    <row r="120">
      <c r="A120" t="n">
        <v>119</v>
      </c>
      <c r="B120" t="inlineStr">
        <is>
          <t>Johnson</t>
        </is>
      </c>
      <c r="C120" t="n">
        <v>536</v>
      </c>
      <c r="D120" t="inlineStr">
        <is>
          <t>Spain</t>
        </is>
      </c>
      <c r="E120" t="inlineStr">
        <is>
          <t>Female</t>
        </is>
      </c>
      <c r="F120" t="n">
        <v>83</v>
      </c>
      <c r="G120" t="n">
        <v>6</v>
      </c>
      <c r="H120" t="n">
        <v>241431.37</v>
      </c>
      <c r="I120" t="n">
        <v>4</v>
      </c>
      <c r="J120" t="n">
        <v>1</v>
      </c>
      <c r="K120" t="n">
        <v>1</v>
      </c>
      <c r="L120" t="n">
        <v>111107.96</v>
      </c>
      <c r="M120" t="n">
        <v>0</v>
      </c>
      <c r="O120">
        <f>IF($M120=1,$L120,"")</f>
        <v/>
      </c>
      <c r="P120">
        <f>IF($M120=0,$L120,"")</f>
        <v/>
      </c>
      <c r="R120">
        <f t="array" ref="R120">IFERROR(INDEX($L$2:$L$501,SMALL(IF($M$2:$M$501=1,ROW($M$2:$M$501)-1),ROW()-1)),"")</f>
        <v/>
      </c>
      <c r="S120">
        <f t="array" ref="S120">IFERROR(INDEX($L$2:$L$501,SMALL(IF($M$2:$M$501=0,ROW($M$2:$M$501)-1),ROW()-1)),"")</f>
        <v/>
      </c>
      <c r="U120">
        <f t="array" ref="U120">IFERROR(INDEX($C$2:$C$501,SMALL(IF($D$2:$D$501="France",ROW($D$2:$D$501)-1),ROW()-1)),"")</f>
        <v/>
      </c>
      <c r="V120">
        <f t="array" ref="V120">IFERROR(INDEX($C$2:$C$501,SMALL(IF($D$2:$D$501="Germany",ROW($D$2:$D$501)-1),ROW()-1)),"")</f>
        <v/>
      </c>
      <c r="W120">
        <f t="array" ref="W120">IFERROR(INDEX($C$2:$C$501,SMALL(IF($D$2:$D$501="Spain",ROW($D$2:$D$501)-1),ROW()-1)),"")</f>
        <v/>
      </c>
    </row>
    <row r="121">
      <c r="A121" t="n">
        <v>120</v>
      </c>
      <c r="B121" t="inlineStr">
        <is>
          <t>Williams</t>
        </is>
      </c>
      <c r="C121" t="n">
        <v>738</v>
      </c>
      <c r="D121" t="inlineStr">
        <is>
          <t>Spain</t>
        </is>
      </c>
      <c r="E121" t="inlineStr">
        <is>
          <t>Female</t>
        </is>
      </c>
      <c r="F121" t="n">
        <v>60</v>
      </c>
      <c r="G121" t="n">
        <v>1</v>
      </c>
      <c r="H121" t="n">
        <v>242524.24</v>
      </c>
      <c r="I121" t="n">
        <v>2</v>
      </c>
      <c r="J121" t="n">
        <v>1</v>
      </c>
      <c r="K121" t="n">
        <v>0</v>
      </c>
      <c r="L121" t="n">
        <v>84784.47</v>
      </c>
      <c r="M121" t="n">
        <v>0</v>
      </c>
      <c r="O121">
        <f>IF($M121=1,$L121,"")</f>
        <v/>
      </c>
      <c r="P121">
        <f>IF($M121=0,$L121,"")</f>
        <v/>
      </c>
      <c r="R121">
        <f t="array" ref="R121">IFERROR(INDEX($L$2:$L$501,SMALL(IF($M$2:$M$501=1,ROW($M$2:$M$501)-1),ROW()-1)),"")</f>
        <v/>
      </c>
      <c r="S121">
        <f t="array" ref="S121">IFERROR(INDEX($L$2:$L$501,SMALL(IF($M$2:$M$501=0,ROW($M$2:$M$501)-1),ROW()-1)),"")</f>
        <v/>
      </c>
      <c r="U121">
        <f t="array" ref="U121">IFERROR(INDEX($C$2:$C$501,SMALL(IF($D$2:$D$501="France",ROW($D$2:$D$501)-1),ROW()-1)),"")</f>
        <v/>
      </c>
      <c r="V121">
        <f t="array" ref="V121">IFERROR(INDEX($C$2:$C$501,SMALL(IF($D$2:$D$501="Germany",ROW($D$2:$D$501)-1),ROW()-1)),"")</f>
        <v/>
      </c>
      <c r="W121">
        <f t="array" ref="W121">IFERROR(INDEX($C$2:$C$501,SMALL(IF($D$2:$D$501="Spain",ROW($D$2:$D$501)-1),ROW()-1)),"")</f>
        <v/>
      </c>
    </row>
    <row r="122">
      <c r="A122" t="n">
        <v>121</v>
      </c>
      <c r="B122" t="inlineStr">
        <is>
          <t>Taylor</t>
        </is>
      </c>
      <c r="C122" t="n">
        <v>367</v>
      </c>
      <c r="D122" t="inlineStr">
        <is>
          <t>Germany</t>
        </is>
      </c>
      <c r="E122" t="inlineStr">
        <is>
          <t>Male</t>
        </is>
      </c>
      <c r="F122" t="n">
        <v>18</v>
      </c>
      <c r="G122" t="n">
        <v>8</v>
      </c>
      <c r="H122" t="n">
        <v>37178.53</v>
      </c>
      <c r="I122" t="n">
        <v>1</v>
      </c>
      <c r="J122" t="n">
        <v>1</v>
      </c>
      <c r="K122" t="n">
        <v>0</v>
      </c>
      <c r="L122" t="n">
        <v>82791.57000000001</v>
      </c>
      <c r="M122" t="n">
        <v>1</v>
      </c>
      <c r="O122">
        <f>IF($M122=1,$L122,"")</f>
        <v/>
      </c>
      <c r="P122">
        <f>IF($M122=0,$L122,"")</f>
        <v/>
      </c>
      <c r="R122">
        <f t="array" ref="R122">IFERROR(INDEX($L$2:$L$501,SMALL(IF($M$2:$M$501=1,ROW($M$2:$M$501)-1),ROW()-1)),"")</f>
        <v/>
      </c>
      <c r="S122">
        <f t="array" ref="S122">IFERROR(INDEX($L$2:$L$501,SMALL(IF($M$2:$M$501=0,ROW($M$2:$M$501)-1),ROW()-1)),"")</f>
        <v/>
      </c>
      <c r="U122">
        <f t="array" ref="U122">IFERROR(INDEX($C$2:$C$501,SMALL(IF($D$2:$D$501="France",ROW($D$2:$D$501)-1),ROW()-1)),"")</f>
        <v/>
      </c>
      <c r="V122">
        <f t="array" ref="V122">IFERROR(INDEX($C$2:$C$501,SMALL(IF($D$2:$D$501="Germany",ROW($D$2:$D$501)-1),ROW()-1)),"")</f>
        <v/>
      </c>
      <c r="W122">
        <f t="array" ref="W122">IFERROR(INDEX($C$2:$C$501,SMALL(IF($D$2:$D$501="Spain",ROW($D$2:$D$501)-1),ROW()-1)),"")</f>
        <v/>
      </c>
    </row>
    <row r="123">
      <c r="A123" t="n">
        <v>122</v>
      </c>
      <c r="B123" t="inlineStr">
        <is>
          <t>Johnson</t>
        </is>
      </c>
      <c r="C123" t="n">
        <v>547</v>
      </c>
      <c r="D123" t="inlineStr">
        <is>
          <t>France</t>
        </is>
      </c>
      <c r="E123" t="inlineStr">
        <is>
          <t>Male</t>
        </is>
      </c>
      <c r="F123" t="n">
        <v>24</v>
      </c>
      <c r="G123" t="n">
        <v>4</v>
      </c>
      <c r="H123" t="n">
        <v>228358.15</v>
      </c>
      <c r="I123" t="n">
        <v>2</v>
      </c>
      <c r="J123" t="n">
        <v>0</v>
      </c>
      <c r="K123" t="n">
        <v>0</v>
      </c>
      <c r="L123" t="n">
        <v>127955.4</v>
      </c>
      <c r="M123" t="n">
        <v>1</v>
      </c>
      <c r="O123">
        <f>IF($M123=1,$L123,"")</f>
        <v/>
      </c>
      <c r="P123">
        <f>IF($M123=0,$L123,"")</f>
        <v/>
      </c>
      <c r="R123">
        <f t="array" ref="R123">IFERROR(INDEX($L$2:$L$501,SMALL(IF($M$2:$M$501=1,ROW($M$2:$M$501)-1),ROW()-1)),"")</f>
        <v/>
      </c>
      <c r="S123">
        <f t="array" ref="S123">IFERROR(INDEX($L$2:$L$501,SMALL(IF($M$2:$M$501=0,ROW($M$2:$M$501)-1),ROW()-1)),"")</f>
        <v/>
      </c>
      <c r="U123">
        <f t="array" ref="U123">IFERROR(INDEX($C$2:$C$501,SMALL(IF($D$2:$D$501="France",ROW($D$2:$D$501)-1),ROW()-1)),"")</f>
        <v/>
      </c>
      <c r="V123">
        <f t="array" ref="V123">IFERROR(INDEX($C$2:$C$501,SMALL(IF($D$2:$D$501="Germany",ROW($D$2:$D$501)-1),ROW()-1)),"")</f>
        <v/>
      </c>
      <c r="W123">
        <f t="array" ref="W123">IFERROR(INDEX($C$2:$C$501,SMALL(IF($D$2:$D$501="Spain",ROW($D$2:$D$501)-1),ROW()-1)),"")</f>
        <v/>
      </c>
    </row>
    <row r="124">
      <c r="A124" t="n">
        <v>123</v>
      </c>
      <c r="B124" t="inlineStr">
        <is>
          <t>Brown</t>
        </is>
      </c>
      <c r="C124" t="n">
        <v>797</v>
      </c>
      <c r="D124" t="inlineStr">
        <is>
          <t>Spain</t>
        </is>
      </c>
      <c r="E124" t="inlineStr">
        <is>
          <t>Male</t>
        </is>
      </c>
      <c r="F124" t="n">
        <v>85</v>
      </c>
      <c r="G124" t="n">
        <v>2</v>
      </c>
      <c r="H124" t="n">
        <v>244614.91</v>
      </c>
      <c r="I124" t="n">
        <v>2</v>
      </c>
      <c r="J124" t="n">
        <v>1</v>
      </c>
      <c r="K124" t="n">
        <v>1</v>
      </c>
      <c r="L124" t="n">
        <v>101378.44</v>
      </c>
      <c r="M124" t="n">
        <v>0</v>
      </c>
      <c r="O124">
        <f>IF($M124=1,$L124,"")</f>
        <v/>
      </c>
      <c r="P124">
        <f>IF($M124=0,$L124,"")</f>
        <v/>
      </c>
      <c r="R124">
        <f t="array" ref="R124">IFERROR(INDEX($L$2:$L$501,SMALL(IF($M$2:$M$501=1,ROW($M$2:$M$501)-1),ROW()-1)),"")</f>
        <v/>
      </c>
      <c r="S124">
        <f t="array" ref="S124">IFERROR(INDEX($L$2:$L$501,SMALL(IF($M$2:$M$501=0,ROW($M$2:$M$501)-1),ROW()-1)),"")</f>
        <v/>
      </c>
      <c r="U124">
        <f t="array" ref="U124">IFERROR(INDEX($C$2:$C$501,SMALL(IF($D$2:$D$501="France",ROW($D$2:$D$501)-1),ROW()-1)),"")</f>
        <v/>
      </c>
      <c r="V124">
        <f t="array" ref="V124">IFERROR(INDEX($C$2:$C$501,SMALL(IF($D$2:$D$501="Germany",ROW($D$2:$D$501)-1),ROW()-1)),"")</f>
        <v/>
      </c>
      <c r="W124">
        <f t="array" ref="W124">IFERROR(INDEX($C$2:$C$501,SMALL(IF($D$2:$D$501="Spain",ROW($D$2:$D$501)-1),ROW()-1)),"")</f>
        <v/>
      </c>
    </row>
    <row r="125">
      <c r="A125" t="n">
        <v>124</v>
      </c>
      <c r="B125" t="inlineStr">
        <is>
          <t>Miller</t>
        </is>
      </c>
      <c r="C125" t="n">
        <v>700</v>
      </c>
      <c r="D125" t="inlineStr">
        <is>
          <t>France</t>
        </is>
      </c>
      <c r="E125" t="inlineStr">
        <is>
          <t>Male</t>
        </is>
      </c>
      <c r="F125" t="n">
        <v>49</v>
      </c>
      <c r="G125" t="n">
        <v>0</v>
      </c>
      <c r="H125" t="n">
        <v>64161.88</v>
      </c>
      <c r="I125" t="n">
        <v>1</v>
      </c>
      <c r="J125" t="n">
        <v>1</v>
      </c>
      <c r="K125" t="n">
        <v>1</v>
      </c>
      <c r="L125" t="n">
        <v>141665.95</v>
      </c>
      <c r="M125" t="n">
        <v>1</v>
      </c>
      <c r="O125">
        <f>IF($M125=1,$L125,"")</f>
        <v/>
      </c>
      <c r="P125">
        <f>IF($M125=0,$L125,"")</f>
        <v/>
      </c>
      <c r="R125">
        <f t="array" ref="R125">IFERROR(INDEX($L$2:$L$501,SMALL(IF($M$2:$M$501=1,ROW($M$2:$M$501)-1),ROW()-1)),"")</f>
        <v/>
      </c>
      <c r="S125">
        <f t="array" ref="S125">IFERROR(INDEX($L$2:$L$501,SMALL(IF($M$2:$M$501=0,ROW($M$2:$M$501)-1),ROW()-1)),"")</f>
        <v/>
      </c>
      <c r="U125">
        <f t="array" ref="U125">IFERROR(INDEX($C$2:$C$501,SMALL(IF($D$2:$D$501="France",ROW($D$2:$D$501)-1),ROW()-1)),"")</f>
        <v/>
      </c>
      <c r="V125">
        <f t="array" ref="V125">IFERROR(INDEX($C$2:$C$501,SMALL(IF($D$2:$D$501="Germany",ROW($D$2:$D$501)-1),ROW()-1)),"")</f>
        <v/>
      </c>
      <c r="W125">
        <f t="array" ref="W125">IFERROR(INDEX($C$2:$C$501,SMALL(IF($D$2:$D$501="Spain",ROW($D$2:$D$501)-1),ROW()-1)),"")</f>
        <v/>
      </c>
    </row>
    <row r="126">
      <c r="A126" t="n">
        <v>125</v>
      </c>
      <c r="B126" t="inlineStr">
        <is>
          <t>Moore</t>
        </is>
      </c>
      <c r="C126" t="n">
        <v>502</v>
      </c>
      <c r="D126" t="inlineStr">
        <is>
          <t>Germany</t>
        </is>
      </c>
      <c r="E126" t="inlineStr">
        <is>
          <t>Female</t>
        </is>
      </c>
      <c r="F126" t="n">
        <v>47</v>
      </c>
      <c r="G126" t="n">
        <v>2</v>
      </c>
      <c r="H126" t="n">
        <v>185255.98</v>
      </c>
      <c r="I126" t="n">
        <v>3</v>
      </c>
      <c r="J126" t="n">
        <v>0</v>
      </c>
      <c r="K126" t="n">
        <v>1</v>
      </c>
      <c r="L126" t="n">
        <v>48022.06</v>
      </c>
      <c r="M126" t="n">
        <v>1</v>
      </c>
      <c r="O126">
        <f>IF($M126=1,$L126,"")</f>
        <v/>
      </c>
      <c r="P126">
        <f>IF($M126=0,$L126,"")</f>
        <v/>
      </c>
      <c r="R126">
        <f t="array" ref="R126">IFERROR(INDEX($L$2:$L$501,SMALL(IF($M$2:$M$501=1,ROW($M$2:$M$501)-1),ROW()-1)),"")</f>
        <v/>
      </c>
      <c r="S126">
        <f t="array" ref="S126">IFERROR(INDEX($L$2:$L$501,SMALL(IF($M$2:$M$501=0,ROW($M$2:$M$501)-1),ROW()-1)),"")</f>
        <v/>
      </c>
      <c r="U126">
        <f t="array" ref="U126">IFERROR(INDEX($C$2:$C$501,SMALL(IF($D$2:$D$501="France",ROW($D$2:$D$501)-1),ROW()-1)),"")</f>
        <v/>
      </c>
      <c r="V126">
        <f t="array" ref="V126">IFERROR(INDEX($C$2:$C$501,SMALL(IF($D$2:$D$501="Germany",ROW($D$2:$D$501)-1),ROW()-1)),"")</f>
        <v/>
      </c>
      <c r="W126">
        <f t="array" ref="W126">IFERROR(INDEX($C$2:$C$501,SMALL(IF($D$2:$D$501="Spain",ROW($D$2:$D$501)-1),ROW()-1)),"")</f>
        <v/>
      </c>
    </row>
    <row r="127">
      <c r="A127" t="n">
        <v>126</v>
      </c>
      <c r="B127" t="inlineStr">
        <is>
          <t>Williams</t>
        </is>
      </c>
      <c r="C127" t="n">
        <v>481</v>
      </c>
      <c r="D127" t="inlineStr">
        <is>
          <t>Spain</t>
        </is>
      </c>
      <c r="E127" t="inlineStr">
        <is>
          <t>Male</t>
        </is>
      </c>
      <c r="F127" t="n">
        <v>34</v>
      </c>
      <c r="G127" t="n">
        <v>8</v>
      </c>
      <c r="H127" t="n">
        <v>43863.71</v>
      </c>
      <c r="I127" t="n">
        <v>2</v>
      </c>
      <c r="J127" t="n">
        <v>0</v>
      </c>
      <c r="K127" t="n">
        <v>0</v>
      </c>
      <c r="L127" t="n">
        <v>23962.59</v>
      </c>
      <c r="M127" t="n">
        <v>0</v>
      </c>
      <c r="O127">
        <f>IF($M127=1,$L127,"")</f>
        <v/>
      </c>
      <c r="P127">
        <f>IF($M127=0,$L127,"")</f>
        <v/>
      </c>
      <c r="R127">
        <f t="array" ref="R127">IFERROR(INDEX($L$2:$L$501,SMALL(IF($M$2:$M$501=1,ROW($M$2:$M$501)-1),ROW()-1)),"")</f>
        <v/>
      </c>
      <c r="S127">
        <f t="array" ref="S127">IFERROR(INDEX($L$2:$L$501,SMALL(IF($M$2:$M$501=0,ROW($M$2:$M$501)-1),ROW()-1)),"")</f>
        <v/>
      </c>
      <c r="U127">
        <f t="array" ref="U127">IFERROR(INDEX($C$2:$C$501,SMALL(IF($D$2:$D$501="France",ROW($D$2:$D$501)-1),ROW()-1)),"")</f>
        <v/>
      </c>
      <c r="V127">
        <f t="array" ref="V127">IFERROR(INDEX($C$2:$C$501,SMALL(IF($D$2:$D$501="Germany",ROW($D$2:$D$501)-1),ROW()-1)),"")</f>
        <v/>
      </c>
      <c r="W127">
        <f t="array" ref="W127">IFERROR(INDEX($C$2:$C$501,SMALL(IF($D$2:$D$501="Spain",ROW($D$2:$D$501)-1),ROW()-1)),"")</f>
        <v/>
      </c>
    </row>
    <row r="128">
      <c r="A128" t="n">
        <v>127</v>
      </c>
      <c r="B128" t="inlineStr">
        <is>
          <t>Jones</t>
        </is>
      </c>
      <c r="C128" t="n">
        <v>675</v>
      </c>
      <c r="D128" t="inlineStr">
        <is>
          <t>Germany</t>
        </is>
      </c>
      <c r="E128" t="inlineStr">
        <is>
          <t>Male</t>
        </is>
      </c>
      <c r="F128" t="n">
        <v>85</v>
      </c>
      <c r="G128" t="n">
        <v>3</v>
      </c>
      <c r="H128" t="n">
        <v>117991.41</v>
      </c>
      <c r="I128" t="n">
        <v>1</v>
      </c>
      <c r="J128" t="n">
        <v>1</v>
      </c>
      <c r="K128" t="n">
        <v>1</v>
      </c>
      <c r="L128" t="n">
        <v>36037.63</v>
      </c>
      <c r="M128" t="n">
        <v>0</v>
      </c>
      <c r="O128">
        <f>IF($M128=1,$L128,"")</f>
        <v/>
      </c>
      <c r="P128">
        <f>IF($M128=0,$L128,"")</f>
        <v/>
      </c>
      <c r="R128">
        <f t="array" ref="R128">IFERROR(INDEX($L$2:$L$501,SMALL(IF($M$2:$M$501=1,ROW($M$2:$M$501)-1),ROW()-1)),"")</f>
        <v/>
      </c>
      <c r="S128">
        <f t="array" ref="S128">IFERROR(INDEX($L$2:$L$501,SMALL(IF($M$2:$M$501=0,ROW($M$2:$M$501)-1),ROW()-1)),"")</f>
        <v/>
      </c>
      <c r="U128">
        <f t="array" ref="U128">IFERROR(INDEX($C$2:$C$501,SMALL(IF($D$2:$D$501="France",ROW($D$2:$D$501)-1),ROW()-1)),"")</f>
        <v/>
      </c>
      <c r="V128">
        <f t="array" ref="V128">IFERROR(INDEX($C$2:$C$501,SMALL(IF($D$2:$D$501="Germany",ROW($D$2:$D$501)-1),ROW()-1)),"")</f>
        <v/>
      </c>
      <c r="W128">
        <f t="array" ref="W128">IFERROR(INDEX($C$2:$C$501,SMALL(IF($D$2:$D$501="Spain",ROW($D$2:$D$501)-1),ROW()-1)),"")</f>
        <v/>
      </c>
    </row>
    <row r="129">
      <c r="A129" t="n">
        <v>128</v>
      </c>
      <c r="B129" t="inlineStr">
        <is>
          <t>Smith</t>
        </is>
      </c>
      <c r="C129" t="n">
        <v>774</v>
      </c>
      <c r="D129" t="inlineStr">
        <is>
          <t>Spain</t>
        </is>
      </c>
      <c r="E129" t="inlineStr">
        <is>
          <t>Female</t>
        </is>
      </c>
      <c r="F129" t="n">
        <v>44</v>
      </c>
      <c r="G129" t="n">
        <v>7</v>
      </c>
      <c r="H129" t="n">
        <v>151801.15</v>
      </c>
      <c r="I129" t="n">
        <v>1</v>
      </c>
      <c r="J129" t="n">
        <v>0</v>
      </c>
      <c r="K129" t="n">
        <v>0</v>
      </c>
      <c r="L129" t="n">
        <v>36575.88</v>
      </c>
      <c r="M129" t="n">
        <v>1</v>
      </c>
      <c r="O129">
        <f>IF($M129=1,$L129,"")</f>
        <v/>
      </c>
      <c r="P129">
        <f>IF($M129=0,$L129,"")</f>
        <v/>
      </c>
      <c r="R129">
        <f t="array" ref="R129">IFERROR(INDEX($L$2:$L$501,SMALL(IF($M$2:$M$501=1,ROW($M$2:$M$501)-1),ROW()-1)),"")</f>
        <v/>
      </c>
      <c r="S129">
        <f t="array" ref="S129">IFERROR(INDEX($L$2:$L$501,SMALL(IF($M$2:$M$501=0,ROW($M$2:$M$501)-1),ROW()-1)),"")</f>
        <v/>
      </c>
      <c r="U129">
        <f t="array" ref="U129">IFERROR(INDEX($C$2:$C$501,SMALL(IF($D$2:$D$501="France",ROW($D$2:$D$501)-1),ROW()-1)),"")</f>
        <v/>
      </c>
      <c r="V129">
        <f t="array" ref="V129">IFERROR(INDEX($C$2:$C$501,SMALL(IF($D$2:$D$501="Germany",ROW($D$2:$D$501)-1),ROW()-1)),"")</f>
        <v/>
      </c>
      <c r="W129">
        <f t="array" ref="W129">IFERROR(INDEX($C$2:$C$501,SMALL(IF($D$2:$D$501="Spain",ROW($D$2:$D$501)-1),ROW()-1)),"")</f>
        <v/>
      </c>
    </row>
    <row r="130">
      <c r="A130" t="n">
        <v>129</v>
      </c>
      <c r="B130" t="inlineStr">
        <is>
          <t>Smith</t>
        </is>
      </c>
      <c r="C130" t="n">
        <v>514</v>
      </c>
      <c r="D130" t="inlineStr">
        <is>
          <t>France</t>
        </is>
      </c>
      <c r="E130" t="inlineStr">
        <is>
          <t>Female</t>
        </is>
      </c>
      <c r="F130" t="n">
        <v>24</v>
      </c>
      <c r="G130" t="n">
        <v>2</v>
      </c>
      <c r="H130" t="n">
        <v>44897.12</v>
      </c>
      <c r="I130" t="n">
        <v>3</v>
      </c>
      <c r="J130" t="n">
        <v>0</v>
      </c>
      <c r="K130" t="n">
        <v>0</v>
      </c>
      <c r="L130" t="n">
        <v>87587.83</v>
      </c>
      <c r="M130" t="n">
        <v>0</v>
      </c>
      <c r="O130">
        <f>IF($M130=1,$L130,"")</f>
        <v/>
      </c>
      <c r="P130">
        <f>IF($M130=0,$L130,"")</f>
        <v/>
      </c>
      <c r="R130">
        <f t="array" ref="R130">IFERROR(INDEX($L$2:$L$501,SMALL(IF($M$2:$M$501=1,ROW($M$2:$M$501)-1),ROW()-1)),"")</f>
        <v/>
      </c>
      <c r="S130">
        <f t="array" ref="S130">IFERROR(INDEX($L$2:$L$501,SMALL(IF($M$2:$M$501=0,ROW($M$2:$M$501)-1),ROW()-1)),"")</f>
        <v/>
      </c>
      <c r="U130">
        <f t="array" ref="U130">IFERROR(INDEX($C$2:$C$501,SMALL(IF($D$2:$D$501="France",ROW($D$2:$D$501)-1),ROW()-1)),"")</f>
        <v/>
      </c>
      <c r="V130">
        <f t="array" ref="V130">IFERROR(INDEX($C$2:$C$501,SMALL(IF($D$2:$D$501="Germany",ROW($D$2:$D$501)-1),ROW()-1)),"")</f>
        <v/>
      </c>
      <c r="W130">
        <f t="array" ref="W130">IFERROR(INDEX($C$2:$C$501,SMALL(IF($D$2:$D$501="Spain",ROW($D$2:$D$501)-1),ROW()-1)),"")</f>
        <v/>
      </c>
    </row>
    <row r="131">
      <c r="A131" t="n">
        <v>130</v>
      </c>
      <c r="B131" t="inlineStr">
        <is>
          <t>Miller</t>
        </is>
      </c>
      <c r="C131" t="n">
        <v>408</v>
      </c>
      <c r="D131" t="inlineStr">
        <is>
          <t>Spain</t>
        </is>
      </c>
      <c r="E131" t="inlineStr">
        <is>
          <t>Female</t>
        </is>
      </c>
      <c r="F131" t="n">
        <v>29</v>
      </c>
      <c r="G131" t="n">
        <v>1</v>
      </c>
      <c r="H131" t="n">
        <v>136796.02</v>
      </c>
      <c r="I131" t="n">
        <v>4</v>
      </c>
      <c r="J131" t="n">
        <v>1</v>
      </c>
      <c r="K131" t="n">
        <v>0</v>
      </c>
      <c r="L131" t="n">
        <v>81668.89</v>
      </c>
      <c r="M131" t="n">
        <v>0</v>
      </c>
      <c r="O131">
        <f>IF($M131=1,$L131,"")</f>
        <v/>
      </c>
      <c r="P131">
        <f>IF($M131=0,$L131,"")</f>
        <v/>
      </c>
      <c r="R131">
        <f t="array" ref="R131">IFERROR(INDEX($L$2:$L$501,SMALL(IF($M$2:$M$501=1,ROW($M$2:$M$501)-1),ROW()-1)),"")</f>
        <v/>
      </c>
      <c r="S131">
        <f t="array" ref="S131">IFERROR(INDEX($L$2:$L$501,SMALL(IF($M$2:$M$501=0,ROW($M$2:$M$501)-1),ROW()-1)),"")</f>
        <v/>
      </c>
      <c r="U131">
        <f t="array" ref="U131">IFERROR(INDEX($C$2:$C$501,SMALL(IF($D$2:$D$501="France",ROW($D$2:$D$501)-1),ROW()-1)),"")</f>
        <v/>
      </c>
      <c r="V131">
        <f t="array" ref="V131">IFERROR(INDEX($C$2:$C$501,SMALL(IF($D$2:$D$501="Germany",ROW($D$2:$D$501)-1),ROW()-1)),"")</f>
        <v/>
      </c>
      <c r="W131">
        <f t="array" ref="W131">IFERROR(INDEX($C$2:$C$501,SMALL(IF($D$2:$D$501="Spain",ROW($D$2:$D$501)-1),ROW()-1)),"")</f>
        <v/>
      </c>
    </row>
    <row r="132">
      <c r="A132" t="n">
        <v>131</v>
      </c>
      <c r="B132" t="inlineStr">
        <is>
          <t>Smith</t>
        </is>
      </c>
      <c r="C132" t="n">
        <v>527</v>
      </c>
      <c r="D132" t="inlineStr">
        <is>
          <t>Germany</t>
        </is>
      </c>
      <c r="E132" t="inlineStr">
        <is>
          <t>Female</t>
        </is>
      </c>
      <c r="F132" t="n">
        <v>73</v>
      </c>
      <c r="G132" t="n">
        <v>4</v>
      </c>
      <c r="H132" t="n">
        <v>184707.82</v>
      </c>
      <c r="I132" t="n">
        <v>4</v>
      </c>
      <c r="J132" t="n">
        <v>0</v>
      </c>
      <c r="K132" t="n">
        <v>0</v>
      </c>
      <c r="L132" t="n">
        <v>93162.75999999999</v>
      </c>
      <c r="M132" t="n">
        <v>0</v>
      </c>
      <c r="O132">
        <f>IF($M132=1,$L132,"")</f>
        <v/>
      </c>
      <c r="P132">
        <f>IF($M132=0,$L132,"")</f>
        <v/>
      </c>
      <c r="R132">
        <f t="array" ref="R132">IFERROR(INDEX($L$2:$L$501,SMALL(IF($M$2:$M$501=1,ROW($M$2:$M$501)-1),ROW()-1)),"")</f>
        <v/>
      </c>
      <c r="S132">
        <f t="array" ref="S132">IFERROR(INDEX($L$2:$L$501,SMALL(IF($M$2:$M$501=0,ROW($M$2:$M$501)-1),ROW()-1)),"")</f>
        <v/>
      </c>
      <c r="U132">
        <f t="array" ref="U132">IFERROR(INDEX($C$2:$C$501,SMALL(IF($D$2:$D$501="France",ROW($D$2:$D$501)-1),ROW()-1)),"")</f>
        <v/>
      </c>
      <c r="V132">
        <f t="array" ref="V132">IFERROR(INDEX($C$2:$C$501,SMALL(IF($D$2:$D$501="Germany",ROW($D$2:$D$501)-1),ROW()-1)),"")</f>
        <v/>
      </c>
      <c r="W132">
        <f t="array" ref="W132">IFERROR(INDEX($C$2:$C$501,SMALL(IF($D$2:$D$501="Spain",ROW($D$2:$D$501)-1),ROW()-1)),"")</f>
        <v/>
      </c>
    </row>
    <row r="133">
      <c r="A133" t="n">
        <v>132</v>
      </c>
      <c r="B133" t="inlineStr">
        <is>
          <t>Miller</t>
        </is>
      </c>
      <c r="C133" t="n">
        <v>789</v>
      </c>
      <c r="D133" t="inlineStr">
        <is>
          <t>Spain</t>
        </is>
      </c>
      <c r="E133" t="inlineStr">
        <is>
          <t>Male</t>
        </is>
      </c>
      <c r="F133" t="n">
        <v>61</v>
      </c>
      <c r="G133" t="n">
        <v>4</v>
      </c>
      <c r="H133" t="n">
        <v>166854.44</v>
      </c>
      <c r="I133" t="n">
        <v>4</v>
      </c>
      <c r="J133" t="n">
        <v>0</v>
      </c>
      <c r="K133" t="n">
        <v>1</v>
      </c>
      <c r="L133" t="n">
        <v>38147.91</v>
      </c>
      <c r="M133" t="n">
        <v>1</v>
      </c>
      <c r="O133">
        <f>IF($M133=1,$L133,"")</f>
        <v/>
      </c>
      <c r="P133">
        <f>IF($M133=0,$L133,"")</f>
        <v/>
      </c>
      <c r="R133">
        <f t="array" ref="R133">IFERROR(INDEX($L$2:$L$501,SMALL(IF($M$2:$M$501=1,ROW($M$2:$M$501)-1),ROW()-1)),"")</f>
        <v/>
      </c>
      <c r="S133">
        <f t="array" ref="S133">IFERROR(INDEX($L$2:$L$501,SMALL(IF($M$2:$M$501=0,ROW($M$2:$M$501)-1),ROW()-1)),"")</f>
        <v/>
      </c>
      <c r="U133">
        <f t="array" ref="U133">IFERROR(INDEX($C$2:$C$501,SMALL(IF($D$2:$D$501="France",ROW($D$2:$D$501)-1),ROW()-1)),"")</f>
        <v/>
      </c>
      <c r="V133">
        <f t="array" ref="V133">IFERROR(INDEX($C$2:$C$501,SMALL(IF($D$2:$D$501="Germany",ROW($D$2:$D$501)-1),ROW()-1)),"")</f>
        <v/>
      </c>
      <c r="W133">
        <f t="array" ref="W133">IFERROR(INDEX($C$2:$C$501,SMALL(IF($D$2:$D$501="Spain",ROW($D$2:$D$501)-1),ROW()-1)),"")</f>
        <v/>
      </c>
    </row>
    <row r="134">
      <c r="A134" t="n">
        <v>133</v>
      </c>
      <c r="B134" t="inlineStr">
        <is>
          <t>Jones</t>
        </is>
      </c>
      <c r="C134" t="n">
        <v>502</v>
      </c>
      <c r="D134" t="inlineStr">
        <is>
          <t>Germany</t>
        </is>
      </c>
      <c r="E134" t="inlineStr">
        <is>
          <t>Male</t>
        </is>
      </c>
      <c r="F134" t="n">
        <v>85</v>
      </c>
      <c r="G134" t="n">
        <v>10</v>
      </c>
      <c r="H134" t="n">
        <v>157686.62</v>
      </c>
      <c r="I134" t="n">
        <v>3</v>
      </c>
      <c r="J134" t="n">
        <v>1</v>
      </c>
      <c r="K134" t="n">
        <v>0</v>
      </c>
      <c r="L134" t="n">
        <v>43499.67</v>
      </c>
      <c r="M134" t="n">
        <v>0</v>
      </c>
      <c r="O134">
        <f>IF($M134=1,$L134,"")</f>
        <v/>
      </c>
      <c r="P134">
        <f>IF($M134=0,$L134,"")</f>
        <v/>
      </c>
      <c r="R134">
        <f t="array" ref="R134">IFERROR(INDEX($L$2:$L$501,SMALL(IF($M$2:$M$501=1,ROW($M$2:$M$501)-1),ROW()-1)),"")</f>
        <v/>
      </c>
      <c r="S134">
        <f t="array" ref="S134">IFERROR(INDEX($L$2:$L$501,SMALL(IF($M$2:$M$501=0,ROW($M$2:$M$501)-1),ROW()-1)),"")</f>
        <v/>
      </c>
      <c r="U134">
        <f t="array" ref="U134">IFERROR(INDEX($C$2:$C$501,SMALL(IF($D$2:$D$501="France",ROW($D$2:$D$501)-1),ROW()-1)),"")</f>
        <v/>
      </c>
      <c r="V134">
        <f t="array" ref="V134">IFERROR(INDEX($C$2:$C$501,SMALL(IF($D$2:$D$501="Germany",ROW($D$2:$D$501)-1),ROW()-1)),"")</f>
        <v/>
      </c>
      <c r="W134">
        <f t="array" ref="W134">IFERROR(INDEX($C$2:$C$501,SMALL(IF($D$2:$D$501="Spain",ROW($D$2:$D$501)-1),ROW()-1)),"")</f>
        <v/>
      </c>
    </row>
    <row r="135">
      <c r="A135" t="n">
        <v>134</v>
      </c>
      <c r="B135" t="inlineStr">
        <is>
          <t>Jones</t>
        </is>
      </c>
      <c r="C135" t="n">
        <v>511</v>
      </c>
      <c r="D135" t="inlineStr">
        <is>
          <t>Spain</t>
        </is>
      </c>
      <c r="E135" t="inlineStr">
        <is>
          <t>Female</t>
        </is>
      </c>
      <c r="F135" t="n">
        <v>38</v>
      </c>
      <c r="G135" t="n">
        <v>4</v>
      </c>
      <c r="H135" t="n">
        <v>30108.06</v>
      </c>
      <c r="I135" t="n">
        <v>2</v>
      </c>
      <c r="J135" t="n">
        <v>1</v>
      </c>
      <c r="K135" t="n">
        <v>1</v>
      </c>
      <c r="L135" t="n">
        <v>17973.88</v>
      </c>
      <c r="M135" t="n">
        <v>1</v>
      </c>
      <c r="O135">
        <f>IF($M135=1,$L135,"")</f>
        <v/>
      </c>
      <c r="P135">
        <f>IF($M135=0,$L135,"")</f>
        <v/>
      </c>
      <c r="R135">
        <f t="array" ref="R135">IFERROR(INDEX($L$2:$L$501,SMALL(IF($M$2:$M$501=1,ROW($M$2:$M$501)-1),ROW()-1)),"")</f>
        <v/>
      </c>
      <c r="S135">
        <f t="array" ref="S135">IFERROR(INDEX($L$2:$L$501,SMALL(IF($M$2:$M$501=0,ROW($M$2:$M$501)-1),ROW()-1)),"")</f>
        <v/>
      </c>
      <c r="U135">
        <f t="array" ref="U135">IFERROR(INDEX($C$2:$C$501,SMALL(IF($D$2:$D$501="France",ROW($D$2:$D$501)-1),ROW()-1)),"")</f>
        <v/>
      </c>
      <c r="V135">
        <f t="array" ref="V135">IFERROR(INDEX($C$2:$C$501,SMALL(IF($D$2:$D$501="Germany",ROW($D$2:$D$501)-1),ROW()-1)),"")</f>
        <v/>
      </c>
      <c r="W135">
        <f t="array" ref="W135">IFERROR(INDEX($C$2:$C$501,SMALL(IF($D$2:$D$501="Spain",ROW($D$2:$D$501)-1),ROW()-1)),"")</f>
        <v/>
      </c>
    </row>
    <row r="136">
      <c r="A136" t="n">
        <v>135</v>
      </c>
      <c r="B136" t="inlineStr">
        <is>
          <t>Moore</t>
        </is>
      </c>
      <c r="C136" t="n">
        <v>752</v>
      </c>
      <c r="D136" t="inlineStr">
        <is>
          <t>Germany</t>
        </is>
      </c>
      <c r="E136" t="inlineStr">
        <is>
          <t>Female</t>
        </is>
      </c>
      <c r="F136" t="n">
        <v>32</v>
      </c>
      <c r="G136" t="n">
        <v>2</v>
      </c>
      <c r="H136" t="n">
        <v>239097.38</v>
      </c>
      <c r="I136" t="n">
        <v>1</v>
      </c>
      <c r="J136" t="n">
        <v>1</v>
      </c>
      <c r="K136" t="n">
        <v>1</v>
      </c>
      <c r="L136" t="n">
        <v>13545.02</v>
      </c>
      <c r="M136" t="n">
        <v>1</v>
      </c>
      <c r="O136">
        <f>IF($M136=1,$L136,"")</f>
        <v/>
      </c>
      <c r="P136">
        <f>IF($M136=0,$L136,"")</f>
        <v/>
      </c>
      <c r="R136">
        <f t="array" ref="R136">IFERROR(INDEX($L$2:$L$501,SMALL(IF($M$2:$M$501=1,ROW($M$2:$M$501)-1),ROW()-1)),"")</f>
        <v/>
      </c>
      <c r="S136">
        <f t="array" ref="S136">IFERROR(INDEX($L$2:$L$501,SMALL(IF($M$2:$M$501=0,ROW($M$2:$M$501)-1),ROW()-1)),"")</f>
        <v/>
      </c>
      <c r="U136">
        <f t="array" ref="U136">IFERROR(INDEX($C$2:$C$501,SMALL(IF($D$2:$D$501="France",ROW($D$2:$D$501)-1),ROW()-1)),"")</f>
        <v/>
      </c>
      <c r="V136">
        <f t="array" ref="V136">IFERROR(INDEX($C$2:$C$501,SMALL(IF($D$2:$D$501="Germany",ROW($D$2:$D$501)-1),ROW()-1)),"")</f>
        <v/>
      </c>
      <c r="W136">
        <f t="array" ref="W136">IFERROR(INDEX($C$2:$C$501,SMALL(IF($D$2:$D$501="Spain",ROW($D$2:$D$501)-1),ROW()-1)),"")</f>
        <v/>
      </c>
    </row>
    <row r="137">
      <c r="A137" t="n">
        <v>136</v>
      </c>
      <c r="B137" t="inlineStr">
        <is>
          <t>Moore</t>
        </is>
      </c>
      <c r="C137" t="n">
        <v>703</v>
      </c>
      <c r="D137" t="inlineStr">
        <is>
          <t>France</t>
        </is>
      </c>
      <c r="E137" t="inlineStr">
        <is>
          <t>Male</t>
        </is>
      </c>
      <c r="F137" t="n">
        <v>32</v>
      </c>
      <c r="G137" t="n">
        <v>4</v>
      </c>
      <c r="H137" t="n">
        <v>35229.26</v>
      </c>
      <c r="I137" t="n">
        <v>2</v>
      </c>
      <c r="J137" t="n">
        <v>1</v>
      </c>
      <c r="K137" t="n">
        <v>0</v>
      </c>
      <c r="L137" t="n">
        <v>59763.13</v>
      </c>
      <c r="M137" t="n">
        <v>1</v>
      </c>
      <c r="O137">
        <f>IF($M137=1,$L137,"")</f>
        <v/>
      </c>
      <c r="P137">
        <f>IF($M137=0,$L137,"")</f>
        <v/>
      </c>
      <c r="R137">
        <f t="array" ref="R137">IFERROR(INDEX($L$2:$L$501,SMALL(IF($M$2:$M$501=1,ROW($M$2:$M$501)-1),ROW()-1)),"")</f>
        <v/>
      </c>
      <c r="S137">
        <f t="array" ref="S137">IFERROR(INDEX($L$2:$L$501,SMALL(IF($M$2:$M$501=0,ROW($M$2:$M$501)-1),ROW()-1)),"")</f>
        <v/>
      </c>
      <c r="U137">
        <f t="array" ref="U137">IFERROR(INDEX($C$2:$C$501,SMALL(IF($D$2:$D$501="France",ROW($D$2:$D$501)-1),ROW()-1)),"")</f>
        <v/>
      </c>
      <c r="V137">
        <f t="array" ref="V137">IFERROR(INDEX($C$2:$C$501,SMALL(IF($D$2:$D$501="Germany",ROW($D$2:$D$501)-1),ROW()-1)),"")</f>
        <v/>
      </c>
      <c r="W137">
        <f t="array" ref="W137">IFERROR(INDEX($C$2:$C$501,SMALL(IF($D$2:$D$501="Spain",ROW($D$2:$D$501)-1),ROW()-1)),"")</f>
        <v/>
      </c>
    </row>
    <row r="138">
      <c r="A138" t="n">
        <v>137</v>
      </c>
      <c r="B138" t="inlineStr">
        <is>
          <t>Moore</t>
        </is>
      </c>
      <c r="C138" t="n">
        <v>812</v>
      </c>
      <c r="D138" t="inlineStr">
        <is>
          <t>Spain</t>
        </is>
      </c>
      <c r="E138" t="inlineStr">
        <is>
          <t>Male</t>
        </is>
      </c>
      <c r="F138" t="n">
        <v>81</v>
      </c>
      <c r="G138" t="n">
        <v>8</v>
      </c>
      <c r="H138" t="n">
        <v>153059.5</v>
      </c>
      <c r="I138" t="n">
        <v>4</v>
      </c>
      <c r="J138" t="n">
        <v>0</v>
      </c>
      <c r="K138" t="n">
        <v>1</v>
      </c>
      <c r="L138" t="n">
        <v>114484.04</v>
      </c>
      <c r="M138" t="n">
        <v>1</v>
      </c>
      <c r="O138">
        <f>IF($M138=1,$L138,"")</f>
        <v/>
      </c>
      <c r="P138">
        <f>IF($M138=0,$L138,"")</f>
        <v/>
      </c>
      <c r="R138">
        <f t="array" ref="R138">IFERROR(INDEX($L$2:$L$501,SMALL(IF($M$2:$M$501=1,ROW($M$2:$M$501)-1),ROW()-1)),"")</f>
        <v/>
      </c>
      <c r="S138">
        <f t="array" ref="S138">IFERROR(INDEX($L$2:$L$501,SMALL(IF($M$2:$M$501=0,ROW($M$2:$M$501)-1),ROW()-1)),"")</f>
        <v/>
      </c>
      <c r="U138">
        <f t="array" ref="U138">IFERROR(INDEX($C$2:$C$501,SMALL(IF($D$2:$D$501="France",ROW($D$2:$D$501)-1),ROW()-1)),"")</f>
        <v/>
      </c>
      <c r="V138">
        <f t="array" ref="V138">IFERROR(INDEX($C$2:$C$501,SMALL(IF($D$2:$D$501="Germany",ROW($D$2:$D$501)-1),ROW()-1)),"")</f>
        <v/>
      </c>
      <c r="W138">
        <f t="array" ref="W138">IFERROR(INDEX($C$2:$C$501,SMALL(IF($D$2:$D$501="Spain",ROW($D$2:$D$501)-1),ROW()-1)),"")</f>
        <v/>
      </c>
    </row>
    <row r="139">
      <c r="A139" t="n">
        <v>138</v>
      </c>
      <c r="B139" t="inlineStr">
        <is>
          <t>Williams</t>
        </is>
      </c>
      <c r="C139" t="n">
        <v>591</v>
      </c>
      <c r="D139" t="inlineStr">
        <is>
          <t>France</t>
        </is>
      </c>
      <c r="E139" t="inlineStr">
        <is>
          <t>Male</t>
        </is>
      </c>
      <c r="F139" t="n">
        <v>61</v>
      </c>
      <c r="G139" t="n">
        <v>7</v>
      </c>
      <c r="H139" t="n">
        <v>32382.85</v>
      </c>
      <c r="I139" t="n">
        <v>4</v>
      </c>
      <c r="J139" t="n">
        <v>0</v>
      </c>
      <c r="K139" t="n">
        <v>1</v>
      </c>
      <c r="L139" t="n">
        <v>108015.6</v>
      </c>
      <c r="M139" t="n">
        <v>0</v>
      </c>
      <c r="O139">
        <f>IF($M139=1,$L139,"")</f>
        <v/>
      </c>
      <c r="P139">
        <f>IF($M139=0,$L139,"")</f>
        <v/>
      </c>
      <c r="R139">
        <f t="array" ref="R139">IFERROR(INDEX($L$2:$L$501,SMALL(IF($M$2:$M$501=1,ROW($M$2:$M$501)-1),ROW()-1)),"")</f>
        <v/>
      </c>
      <c r="S139">
        <f t="array" ref="S139">IFERROR(INDEX($L$2:$L$501,SMALL(IF($M$2:$M$501=0,ROW($M$2:$M$501)-1),ROW()-1)),"")</f>
        <v/>
      </c>
      <c r="U139">
        <f t="array" ref="U139">IFERROR(INDEX($C$2:$C$501,SMALL(IF($D$2:$D$501="France",ROW($D$2:$D$501)-1),ROW()-1)),"")</f>
        <v/>
      </c>
      <c r="V139">
        <f t="array" ref="V139">IFERROR(INDEX($C$2:$C$501,SMALL(IF($D$2:$D$501="Germany",ROW($D$2:$D$501)-1),ROW()-1)),"")</f>
        <v/>
      </c>
      <c r="W139">
        <f t="array" ref="W139">IFERROR(INDEX($C$2:$C$501,SMALL(IF($D$2:$D$501="Spain",ROW($D$2:$D$501)-1),ROW()-1)),"")</f>
        <v/>
      </c>
    </row>
    <row r="140">
      <c r="A140" t="n">
        <v>139</v>
      </c>
      <c r="B140" t="inlineStr">
        <is>
          <t>Jones</t>
        </is>
      </c>
      <c r="C140" t="n">
        <v>485</v>
      </c>
      <c r="D140" t="inlineStr">
        <is>
          <t>Spain</t>
        </is>
      </c>
      <c r="E140" t="inlineStr">
        <is>
          <t>Female</t>
        </is>
      </c>
      <c r="F140" t="n">
        <v>45</v>
      </c>
      <c r="G140" t="n">
        <v>10</v>
      </c>
      <c r="H140" t="n">
        <v>134925.83</v>
      </c>
      <c r="I140" t="n">
        <v>1</v>
      </c>
      <c r="J140" t="n">
        <v>1</v>
      </c>
      <c r="K140" t="n">
        <v>0</v>
      </c>
      <c r="L140" t="n">
        <v>103143.51</v>
      </c>
      <c r="M140" t="n">
        <v>1</v>
      </c>
      <c r="O140">
        <f>IF($M140=1,$L140,"")</f>
        <v/>
      </c>
      <c r="P140">
        <f>IF($M140=0,$L140,"")</f>
        <v/>
      </c>
      <c r="R140">
        <f t="array" ref="R140">IFERROR(INDEX($L$2:$L$501,SMALL(IF($M$2:$M$501=1,ROW($M$2:$M$501)-1),ROW()-1)),"")</f>
        <v/>
      </c>
      <c r="S140">
        <f t="array" ref="S140">IFERROR(INDEX($L$2:$L$501,SMALL(IF($M$2:$M$501=0,ROW($M$2:$M$501)-1),ROW()-1)),"")</f>
        <v/>
      </c>
      <c r="U140">
        <f t="array" ref="U140">IFERROR(INDEX($C$2:$C$501,SMALL(IF($D$2:$D$501="France",ROW($D$2:$D$501)-1),ROW()-1)),"")</f>
        <v/>
      </c>
      <c r="V140">
        <f t="array" ref="V140">IFERROR(INDEX($C$2:$C$501,SMALL(IF($D$2:$D$501="Germany",ROW($D$2:$D$501)-1),ROW()-1)),"")</f>
        <v/>
      </c>
      <c r="W140">
        <f t="array" ref="W140">IFERROR(INDEX($C$2:$C$501,SMALL(IF($D$2:$D$501="Spain",ROW($D$2:$D$501)-1),ROW()-1)),"")</f>
        <v/>
      </c>
    </row>
    <row r="141">
      <c r="A141" t="n">
        <v>140</v>
      </c>
      <c r="B141" t="inlineStr">
        <is>
          <t>Williams</t>
        </is>
      </c>
      <c r="C141" t="n">
        <v>787</v>
      </c>
      <c r="D141" t="inlineStr">
        <is>
          <t>Spain</t>
        </is>
      </c>
      <c r="E141" t="inlineStr">
        <is>
          <t>Female</t>
        </is>
      </c>
      <c r="F141" t="n">
        <v>38</v>
      </c>
      <c r="G141" t="n">
        <v>9</v>
      </c>
      <c r="H141" t="n">
        <v>216858.41</v>
      </c>
      <c r="I141" t="n">
        <v>1</v>
      </c>
      <c r="J141" t="n">
        <v>0</v>
      </c>
      <c r="K141" t="n">
        <v>1</v>
      </c>
      <c r="L141" t="n">
        <v>13005.86</v>
      </c>
      <c r="M141" t="n">
        <v>0</v>
      </c>
      <c r="O141">
        <f>IF($M141=1,$L141,"")</f>
        <v/>
      </c>
      <c r="P141">
        <f>IF($M141=0,$L141,"")</f>
        <v/>
      </c>
      <c r="R141">
        <f t="array" ref="R141">IFERROR(INDEX($L$2:$L$501,SMALL(IF($M$2:$M$501=1,ROW($M$2:$M$501)-1),ROW()-1)),"")</f>
        <v/>
      </c>
      <c r="S141">
        <f t="array" ref="S141">IFERROR(INDEX($L$2:$L$501,SMALL(IF($M$2:$M$501=0,ROW($M$2:$M$501)-1),ROW()-1)),"")</f>
        <v/>
      </c>
      <c r="U141">
        <f t="array" ref="U141">IFERROR(INDEX($C$2:$C$501,SMALL(IF($D$2:$D$501="France",ROW($D$2:$D$501)-1),ROW()-1)),"")</f>
        <v/>
      </c>
      <c r="V141">
        <f t="array" ref="V141">IFERROR(INDEX($C$2:$C$501,SMALL(IF($D$2:$D$501="Germany",ROW($D$2:$D$501)-1),ROW()-1)),"")</f>
        <v/>
      </c>
      <c r="W141">
        <f t="array" ref="W141">IFERROR(INDEX($C$2:$C$501,SMALL(IF($D$2:$D$501="Spain",ROW($D$2:$D$501)-1),ROW()-1)),"")</f>
        <v/>
      </c>
    </row>
    <row r="142">
      <c r="A142" t="n">
        <v>141</v>
      </c>
      <c r="B142" t="inlineStr">
        <is>
          <t>Smith</t>
        </is>
      </c>
      <c r="C142" t="n">
        <v>585</v>
      </c>
      <c r="D142" t="inlineStr">
        <is>
          <t>France</t>
        </is>
      </c>
      <c r="E142" t="inlineStr">
        <is>
          <t>Female</t>
        </is>
      </c>
      <c r="F142" t="n">
        <v>41</v>
      </c>
      <c r="G142" t="n">
        <v>8</v>
      </c>
      <c r="H142" t="n">
        <v>157571.36</v>
      </c>
      <c r="I142" t="n">
        <v>2</v>
      </c>
      <c r="J142" t="n">
        <v>0</v>
      </c>
      <c r="K142" t="n">
        <v>0</v>
      </c>
      <c r="L142" t="n">
        <v>142792.83</v>
      </c>
      <c r="M142" t="n">
        <v>1</v>
      </c>
      <c r="O142">
        <f>IF($M142=1,$L142,"")</f>
        <v/>
      </c>
      <c r="P142">
        <f>IF($M142=0,$L142,"")</f>
        <v/>
      </c>
      <c r="R142">
        <f t="array" ref="R142">IFERROR(INDEX($L$2:$L$501,SMALL(IF($M$2:$M$501=1,ROW($M$2:$M$501)-1),ROW()-1)),"")</f>
        <v/>
      </c>
      <c r="S142">
        <f t="array" ref="S142">IFERROR(INDEX($L$2:$L$501,SMALL(IF($M$2:$M$501=0,ROW($M$2:$M$501)-1),ROW()-1)),"")</f>
        <v/>
      </c>
      <c r="U142">
        <f t="array" ref="U142">IFERROR(INDEX($C$2:$C$501,SMALL(IF($D$2:$D$501="France",ROW($D$2:$D$501)-1),ROW()-1)),"")</f>
        <v/>
      </c>
      <c r="V142">
        <f t="array" ref="V142">IFERROR(INDEX($C$2:$C$501,SMALL(IF($D$2:$D$501="Germany",ROW($D$2:$D$501)-1),ROW()-1)),"")</f>
        <v/>
      </c>
      <c r="W142">
        <f t="array" ref="W142">IFERROR(INDEX($C$2:$C$501,SMALL(IF($D$2:$D$501="Spain",ROW($D$2:$D$501)-1),ROW()-1)),"")</f>
        <v/>
      </c>
    </row>
    <row r="143">
      <c r="A143" t="n">
        <v>142</v>
      </c>
      <c r="B143" t="inlineStr">
        <is>
          <t>Moore</t>
        </is>
      </c>
      <c r="C143" t="n">
        <v>396</v>
      </c>
      <c r="D143" t="inlineStr">
        <is>
          <t>Germany</t>
        </is>
      </c>
      <c r="E143" t="inlineStr">
        <is>
          <t>Male</t>
        </is>
      </c>
      <c r="F143" t="n">
        <v>52</v>
      </c>
      <c r="G143" t="n">
        <v>9</v>
      </c>
      <c r="H143" t="n">
        <v>227146.67</v>
      </c>
      <c r="I143" t="n">
        <v>2</v>
      </c>
      <c r="J143" t="n">
        <v>0</v>
      </c>
      <c r="K143" t="n">
        <v>0</v>
      </c>
      <c r="L143" t="n">
        <v>57655.65</v>
      </c>
      <c r="M143" t="n">
        <v>1</v>
      </c>
      <c r="O143">
        <f>IF($M143=1,$L143,"")</f>
        <v/>
      </c>
      <c r="P143">
        <f>IF($M143=0,$L143,"")</f>
        <v/>
      </c>
      <c r="R143">
        <f t="array" ref="R143">IFERROR(INDEX($L$2:$L$501,SMALL(IF($M$2:$M$501=1,ROW($M$2:$M$501)-1),ROW()-1)),"")</f>
        <v/>
      </c>
      <c r="S143">
        <f t="array" ref="S143">IFERROR(INDEX($L$2:$L$501,SMALL(IF($M$2:$M$501=0,ROW($M$2:$M$501)-1),ROW()-1)),"")</f>
        <v/>
      </c>
      <c r="U143">
        <f t="array" ref="U143">IFERROR(INDEX($C$2:$C$501,SMALL(IF($D$2:$D$501="France",ROW($D$2:$D$501)-1),ROW()-1)),"")</f>
        <v/>
      </c>
      <c r="V143">
        <f t="array" ref="V143">IFERROR(INDEX($C$2:$C$501,SMALL(IF($D$2:$D$501="Germany",ROW($D$2:$D$501)-1),ROW()-1)),"")</f>
        <v/>
      </c>
      <c r="W143">
        <f t="array" ref="W143">IFERROR(INDEX($C$2:$C$501,SMALL(IF($D$2:$D$501="Spain",ROW($D$2:$D$501)-1),ROW()-1)),"")</f>
        <v/>
      </c>
    </row>
    <row r="144">
      <c r="A144" t="n">
        <v>143</v>
      </c>
      <c r="B144" t="inlineStr">
        <is>
          <t>Moore</t>
        </is>
      </c>
      <c r="C144" t="n">
        <v>846</v>
      </c>
      <c r="D144" t="inlineStr">
        <is>
          <t>France</t>
        </is>
      </c>
      <c r="E144" t="inlineStr">
        <is>
          <t>Male</t>
        </is>
      </c>
      <c r="F144" t="n">
        <v>50</v>
      </c>
      <c r="G144" t="n">
        <v>5</v>
      </c>
      <c r="H144" t="n">
        <v>164636.07</v>
      </c>
      <c r="I144" t="n">
        <v>4</v>
      </c>
      <c r="J144" t="n">
        <v>1</v>
      </c>
      <c r="K144" t="n">
        <v>0</v>
      </c>
      <c r="L144" t="n">
        <v>70775.05</v>
      </c>
      <c r="M144" t="n">
        <v>0</v>
      </c>
      <c r="O144">
        <f>IF($M144=1,$L144,"")</f>
        <v/>
      </c>
      <c r="P144">
        <f>IF($M144=0,$L144,"")</f>
        <v/>
      </c>
      <c r="R144">
        <f t="array" ref="R144">IFERROR(INDEX($L$2:$L$501,SMALL(IF($M$2:$M$501=1,ROW($M$2:$M$501)-1),ROW()-1)),"")</f>
        <v/>
      </c>
      <c r="S144">
        <f t="array" ref="S144">IFERROR(INDEX($L$2:$L$501,SMALL(IF($M$2:$M$501=0,ROW($M$2:$M$501)-1),ROW()-1)),"")</f>
        <v/>
      </c>
      <c r="U144">
        <f t="array" ref="U144">IFERROR(INDEX($C$2:$C$501,SMALL(IF($D$2:$D$501="France",ROW($D$2:$D$501)-1),ROW()-1)),"")</f>
        <v/>
      </c>
      <c r="V144">
        <f t="array" ref="V144">IFERROR(INDEX($C$2:$C$501,SMALL(IF($D$2:$D$501="Germany",ROW($D$2:$D$501)-1),ROW()-1)),"")</f>
        <v/>
      </c>
      <c r="W144">
        <f t="array" ref="W144">IFERROR(INDEX($C$2:$C$501,SMALL(IF($D$2:$D$501="Spain",ROW($D$2:$D$501)-1),ROW()-1)),"")</f>
        <v/>
      </c>
    </row>
    <row r="145">
      <c r="A145" t="n">
        <v>144</v>
      </c>
      <c r="B145" t="inlineStr">
        <is>
          <t>Jones</t>
        </is>
      </c>
      <c r="C145" t="n">
        <v>477</v>
      </c>
      <c r="D145" t="inlineStr">
        <is>
          <t>France</t>
        </is>
      </c>
      <c r="E145" t="inlineStr">
        <is>
          <t>Male</t>
        </is>
      </c>
      <c r="F145" t="n">
        <v>83</v>
      </c>
      <c r="G145" t="n">
        <v>9</v>
      </c>
      <c r="H145" t="n">
        <v>113849.92</v>
      </c>
      <c r="I145" t="n">
        <v>1</v>
      </c>
      <c r="J145" t="n">
        <v>1</v>
      </c>
      <c r="K145" t="n">
        <v>1</v>
      </c>
      <c r="L145" t="n">
        <v>122175.46</v>
      </c>
      <c r="M145" t="n">
        <v>1</v>
      </c>
      <c r="O145">
        <f>IF($M145=1,$L145,"")</f>
        <v/>
      </c>
      <c r="P145">
        <f>IF($M145=0,$L145,"")</f>
        <v/>
      </c>
      <c r="R145">
        <f t="array" ref="R145">IFERROR(INDEX($L$2:$L$501,SMALL(IF($M$2:$M$501=1,ROW($M$2:$M$501)-1),ROW()-1)),"")</f>
        <v/>
      </c>
      <c r="S145">
        <f t="array" ref="S145">IFERROR(INDEX($L$2:$L$501,SMALL(IF($M$2:$M$501=0,ROW($M$2:$M$501)-1),ROW()-1)),"")</f>
        <v/>
      </c>
      <c r="U145">
        <f t="array" ref="U145">IFERROR(INDEX($C$2:$C$501,SMALL(IF($D$2:$D$501="France",ROW($D$2:$D$501)-1),ROW()-1)),"")</f>
        <v/>
      </c>
      <c r="V145">
        <f t="array" ref="V145">IFERROR(INDEX($C$2:$C$501,SMALL(IF($D$2:$D$501="Germany",ROW($D$2:$D$501)-1),ROW()-1)),"")</f>
        <v/>
      </c>
      <c r="W145">
        <f t="array" ref="W145">IFERROR(INDEX($C$2:$C$501,SMALL(IF($D$2:$D$501="Spain",ROW($D$2:$D$501)-1),ROW()-1)),"")</f>
        <v/>
      </c>
    </row>
    <row r="146">
      <c r="A146" t="n">
        <v>145</v>
      </c>
      <c r="B146" t="inlineStr">
        <is>
          <t>Moore</t>
        </is>
      </c>
      <c r="C146" t="n">
        <v>767</v>
      </c>
      <c r="D146" t="inlineStr">
        <is>
          <t>Spain</t>
        </is>
      </c>
      <c r="E146" t="inlineStr">
        <is>
          <t>Female</t>
        </is>
      </c>
      <c r="F146" t="n">
        <v>40</v>
      </c>
      <c r="G146" t="n">
        <v>1</v>
      </c>
      <c r="H146" t="n">
        <v>116715.57</v>
      </c>
      <c r="I146" t="n">
        <v>1</v>
      </c>
      <c r="J146" t="n">
        <v>0</v>
      </c>
      <c r="K146" t="n">
        <v>0</v>
      </c>
      <c r="L146" t="n">
        <v>22814.14</v>
      </c>
      <c r="M146" t="n">
        <v>0</v>
      </c>
      <c r="O146">
        <f>IF($M146=1,$L146,"")</f>
        <v/>
      </c>
      <c r="P146">
        <f>IF($M146=0,$L146,"")</f>
        <v/>
      </c>
      <c r="R146">
        <f t="array" ref="R146">IFERROR(INDEX($L$2:$L$501,SMALL(IF($M$2:$M$501=1,ROW($M$2:$M$501)-1),ROW()-1)),"")</f>
        <v/>
      </c>
      <c r="S146">
        <f t="array" ref="S146">IFERROR(INDEX($L$2:$L$501,SMALL(IF($M$2:$M$501=0,ROW($M$2:$M$501)-1),ROW()-1)),"")</f>
        <v/>
      </c>
      <c r="U146">
        <f t="array" ref="U146">IFERROR(INDEX($C$2:$C$501,SMALL(IF($D$2:$D$501="France",ROW($D$2:$D$501)-1),ROW()-1)),"")</f>
        <v/>
      </c>
      <c r="V146">
        <f t="array" ref="V146">IFERROR(INDEX($C$2:$C$501,SMALL(IF($D$2:$D$501="Germany",ROW($D$2:$D$501)-1),ROW()-1)),"")</f>
        <v/>
      </c>
      <c r="W146">
        <f t="array" ref="W146">IFERROR(INDEX($C$2:$C$501,SMALL(IF($D$2:$D$501="Spain",ROW($D$2:$D$501)-1),ROW()-1)),"")</f>
        <v/>
      </c>
    </row>
    <row r="147">
      <c r="A147" t="n">
        <v>146</v>
      </c>
      <c r="B147" t="inlineStr">
        <is>
          <t>Williams</t>
        </is>
      </c>
      <c r="C147" t="n">
        <v>687</v>
      </c>
      <c r="D147" t="inlineStr">
        <is>
          <t>Germany</t>
        </is>
      </c>
      <c r="E147" t="inlineStr">
        <is>
          <t>Female</t>
        </is>
      </c>
      <c r="F147" t="n">
        <v>39</v>
      </c>
      <c r="G147" t="n">
        <v>8</v>
      </c>
      <c r="H147" t="n">
        <v>52909.38</v>
      </c>
      <c r="I147" t="n">
        <v>4</v>
      </c>
      <c r="J147" t="n">
        <v>0</v>
      </c>
      <c r="K147" t="n">
        <v>1</v>
      </c>
      <c r="L147" t="n">
        <v>34759.36</v>
      </c>
      <c r="M147" t="n">
        <v>0</v>
      </c>
      <c r="O147">
        <f>IF($M147=1,$L147,"")</f>
        <v/>
      </c>
      <c r="P147">
        <f>IF($M147=0,$L147,"")</f>
        <v/>
      </c>
      <c r="R147">
        <f t="array" ref="R147">IFERROR(INDEX($L$2:$L$501,SMALL(IF($M$2:$M$501=1,ROW($M$2:$M$501)-1),ROW()-1)),"")</f>
        <v/>
      </c>
      <c r="S147">
        <f t="array" ref="S147">IFERROR(INDEX($L$2:$L$501,SMALL(IF($M$2:$M$501=0,ROW($M$2:$M$501)-1),ROW()-1)),"")</f>
        <v/>
      </c>
      <c r="U147">
        <f t="array" ref="U147">IFERROR(INDEX($C$2:$C$501,SMALL(IF($D$2:$D$501="France",ROW($D$2:$D$501)-1),ROW()-1)),"")</f>
        <v/>
      </c>
      <c r="V147">
        <f t="array" ref="V147">IFERROR(INDEX($C$2:$C$501,SMALL(IF($D$2:$D$501="Germany",ROW($D$2:$D$501)-1),ROW()-1)),"")</f>
        <v/>
      </c>
      <c r="W147">
        <f t="array" ref="W147">IFERROR(INDEX($C$2:$C$501,SMALL(IF($D$2:$D$501="Spain",ROW($D$2:$D$501)-1),ROW()-1)),"")</f>
        <v/>
      </c>
    </row>
    <row r="148">
      <c r="A148" t="n">
        <v>147</v>
      </c>
      <c r="B148" t="inlineStr">
        <is>
          <t>Moore</t>
        </is>
      </c>
      <c r="C148" t="n">
        <v>507</v>
      </c>
      <c r="D148" t="inlineStr">
        <is>
          <t>Germany</t>
        </is>
      </c>
      <c r="E148" t="inlineStr">
        <is>
          <t>Male</t>
        </is>
      </c>
      <c r="F148" t="n">
        <v>75</v>
      </c>
      <c r="G148" t="n">
        <v>8</v>
      </c>
      <c r="H148" t="n">
        <v>238465.26</v>
      </c>
      <c r="I148" t="n">
        <v>4</v>
      </c>
      <c r="J148" t="n">
        <v>0</v>
      </c>
      <c r="K148" t="n">
        <v>1</v>
      </c>
      <c r="L148" t="n">
        <v>55585.67</v>
      </c>
      <c r="M148" t="n">
        <v>0</v>
      </c>
      <c r="O148">
        <f>IF($M148=1,$L148,"")</f>
        <v/>
      </c>
      <c r="P148">
        <f>IF($M148=0,$L148,"")</f>
        <v/>
      </c>
      <c r="R148">
        <f t="array" ref="R148">IFERROR(INDEX($L$2:$L$501,SMALL(IF($M$2:$M$501=1,ROW($M$2:$M$501)-1),ROW()-1)),"")</f>
        <v/>
      </c>
      <c r="S148">
        <f t="array" ref="S148">IFERROR(INDEX($L$2:$L$501,SMALL(IF($M$2:$M$501=0,ROW($M$2:$M$501)-1),ROW()-1)),"")</f>
        <v/>
      </c>
      <c r="U148">
        <f t="array" ref="U148">IFERROR(INDEX($C$2:$C$501,SMALL(IF($D$2:$D$501="France",ROW($D$2:$D$501)-1),ROW()-1)),"")</f>
        <v/>
      </c>
      <c r="V148">
        <f t="array" ref="V148">IFERROR(INDEX($C$2:$C$501,SMALL(IF($D$2:$D$501="Germany",ROW($D$2:$D$501)-1),ROW()-1)),"")</f>
        <v/>
      </c>
      <c r="W148">
        <f t="array" ref="W148">IFERROR(INDEX($C$2:$C$501,SMALL(IF($D$2:$D$501="Spain",ROW($D$2:$D$501)-1),ROW()-1)),"")</f>
        <v/>
      </c>
    </row>
    <row r="149">
      <c r="A149" t="n">
        <v>148</v>
      </c>
      <c r="B149" t="inlineStr">
        <is>
          <t>Brown</t>
        </is>
      </c>
      <c r="C149" t="n">
        <v>362</v>
      </c>
      <c r="D149" t="inlineStr">
        <is>
          <t>France</t>
        </is>
      </c>
      <c r="E149" t="inlineStr">
        <is>
          <t>Male</t>
        </is>
      </c>
      <c r="F149" t="n">
        <v>86</v>
      </c>
      <c r="G149" t="n">
        <v>6</v>
      </c>
      <c r="H149" t="n">
        <v>77731.5</v>
      </c>
      <c r="I149" t="n">
        <v>4</v>
      </c>
      <c r="J149" t="n">
        <v>0</v>
      </c>
      <c r="K149" t="n">
        <v>1</v>
      </c>
      <c r="L149" t="n">
        <v>128074.02</v>
      </c>
      <c r="M149" t="n">
        <v>1</v>
      </c>
      <c r="O149">
        <f>IF($M149=1,$L149,"")</f>
        <v/>
      </c>
      <c r="P149">
        <f>IF($M149=0,$L149,"")</f>
        <v/>
      </c>
      <c r="R149">
        <f t="array" ref="R149">IFERROR(INDEX($L$2:$L$501,SMALL(IF($M$2:$M$501=1,ROW($M$2:$M$501)-1),ROW()-1)),"")</f>
        <v/>
      </c>
      <c r="S149">
        <f t="array" ref="S149">IFERROR(INDEX($L$2:$L$501,SMALL(IF($M$2:$M$501=0,ROW($M$2:$M$501)-1),ROW()-1)),"")</f>
        <v/>
      </c>
      <c r="U149">
        <f t="array" ref="U149">IFERROR(INDEX($C$2:$C$501,SMALL(IF($D$2:$D$501="France",ROW($D$2:$D$501)-1),ROW()-1)),"")</f>
        <v/>
      </c>
      <c r="V149">
        <f t="array" ref="V149">IFERROR(INDEX($C$2:$C$501,SMALL(IF($D$2:$D$501="Germany",ROW($D$2:$D$501)-1),ROW()-1)),"")</f>
        <v/>
      </c>
      <c r="W149">
        <f t="array" ref="W149">IFERROR(INDEX($C$2:$C$501,SMALL(IF($D$2:$D$501="Spain",ROW($D$2:$D$501)-1),ROW()-1)),"")</f>
        <v/>
      </c>
    </row>
    <row r="150">
      <c r="A150" t="n">
        <v>149</v>
      </c>
      <c r="B150" t="inlineStr">
        <is>
          <t>Jones</t>
        </is>
      </c>
      <c r="C150" t="n">
        <v>468</v>
      </c>
      <c r="D150" t="inlineStr">
        <is>
          <t>France</t>
        </is>
      </c>
      <c r="E150" t="inlineStr">
        <is>
          <t>Female</t>
        </is>
      </c>
      <c r="F150" t="n">
        <v>63</v>
      </c>
      <c r="G150" t="n">
        <v>0</v>
      </c>
      <c r="H150" t="n">
        <v>99986.47</v>
      </c>
      <c r="I150" t="n">
        <v>4</v>
      </c>
      <c r="J150" t="n">
        <v>1</v>
      </c>
      <c r="K150" t="n">
        <v>1</v>
      </c>
      <c r="L150" t="n">
        <v>106009.52</v>
      </c>
      <c r="M150" t="n">
        <v>1</v>
      </c>
      <c r="O150">
        <f>IF($M150=1,$L150,"")</f>
        <v/>
      </c>
      <c r="P150">
        <f>IF($M150=0,$L150,"")</f>
        <v/>
      </c>
      <c r="R150">
        <f t="array" ref="R150">IFERROR(INDEX($L$2:$L$501,SMALL(IF($M$2:$M$501=1,ROW($M$2:$M$501)-1),ROW()-1)),"")</f>
        <v/>
      </c>
      <c r="S150">
        <f t="array" ref="S150">IFERROR(INDEX($L$2:$L$501,SMALL(IF($M$2:$M$501=0,ROW($M$2:$M$501)-1),ROW()-1)),"")</f>
        <v/>
      </c>
      <c r="U150">
        <f t="array" ref="U150">IFERROR(INDEX($C$2:$C$501,SMALL(IF($D$2:$D$501="France",ROW($D$2:$D$501)-1),ROW()-1)),"")</f>
        <v/>
      </c>
      <c r="V150">
        <f t="array" ref="V150">IFERROR(INDEX($C$2:$C$501,SMALL(IF($D$2:$D$501="Germany",ROW($D$2:$D$501)-1),ROW()-1)),"")</f>
        <v/>
      </c>
      <c r="W150">
        <f t="array" ref="W150">IFERROR(INDEX($C$2:$C$501,SMALL(IF($D$2:$D$501="Spain",ROW($D$2:$D$501)-1),ROW()-1)),"")</f>
        <v/>
      </c>
    </row>
    <row r="151">
      <c r="A151" t="n">
        <v>150</v>
      </c>
      <c r="B151" t="inlineStr">
        <is>
          <t>Smith</t>
        </is>
      </c>
      <c r="C151" t="n">
        <v>652</v>
      </c>
      <c r="D151" t="inlineStr">
        <is>
          <t>Germany</t>
        </is>
      </c>
      <c r="E151" t="inlineStr">
        <is>
          <t>Female</t>
        </is>
      </c>
      <c r="F151" t="n">
        <v>57</v>
      </c>
      <c r="G151" t="n">
        <v>0</v>
      </c>
      <c r="H151" t="n">
        <v>7447.39</v>
      </c>
      <c r="I151" t="n">
        <v>2</v>
      </c>
      <c r="J151" t="n">
        <v>0</v>
      </c>
      <c r="K151" t="n">
        <v>0</v>
      </c>
      <c r="L151" t="n">
        <v>60175.22</v>
      </c>
      <c r="M151" t="n">
        <v>1</v>
      </c>
      <c r="O151">
        <f>IF($M151=1,$L151,"")</f>
        <v/>
      </c>
      <c r="P151">
        <f>IF($M151=0,$L151,"")</f>
        <v/>
      </c>
      <c r="R151">
        <f t="array" ref="R151">IFERROR(INDEX($L$2:$L$501,SMALL(IF($M$2:$M$501=1,ROW($M$2:$M$501)-1),ROW()-1)),"")</f>
        <v/>
      </c>
      <c r="S151">
        <f t="array" ref="S151">IFERROR(INDEX($L$2:$L$501,SMALL(IF($M$2:$M$501=0,ROW($M$2:$M$501)-1),ROW()-1)),"")</f>
        <v/>
      </c>
      <c r="U151">
        <f t="array" ref="U151">IFERROR(INDEX($C$2:$C$501,SMALL(IF($D$2:$D$501="France",ROW($D$2:$D$501)-1),ROW()-1)),"")</f>
        <v/>
      </c>
      <c r="V151">
        <f t="array" ref="V151">IFERROR(INDEX($C$2:$C$501,SMALL(IF($D$2:$D$501="Germany",ROW($D$2:$D$501)-1),ROW()-1)),"")</f>
        <v/>
      </c>
      <c r="W151">
        <f t="array" ref="W151">IFERROR(INDEX($C$2:$C$501,SMALL(IF($D$2:$D$501="Spain",ROW($D$2:$D$501)-1),ROW()-1)),"")</f>
        <v/>
      </c>
    </row>
    <row r="152">
      <c r="A152" t="n">
        <v>151</v>
      </c>
      <c r="B152" t="inlineStr">
        <is>
          <t>Brown</t>
        </is>
      </c>
      <c r="C152" t="n">
        <v>724</v>
      </c>
      <c r="D152" t="inlineStr">
        <is>
          <t>France</t>
        </is>
      </c>
      <c r="E152" t="inlineStr">
        <is>
          <t>Female</t>
        </is>
      </c>
      <c r="F152" t="n">
        <v>42</v>
      </c>
      <c r="G152" t="n">
        <v>2</v>
      </c>
      <c r="H152" t="n">
        <v>97001.53</v>
      </c>
      <c r="I152" t="n">
        <v>3</v>
      </c>
      <c r="J152" t="n">
        <v>0</v>
      </c>
      <c r="K152" t="n">
        <v>0</v>
      </c>
      <c r="L152" t="n">
        <v>140671.21</v>
      </c>
      <c r="M152" t="n">
        <v>0</v>
      </c>
      <c r="O152">
        <f>IF($M152=1,$L152,"")</f>
        <v/>
      </c>
      <c r="P152">
        <f>IF($M152=0,$L152,"")</f>
        <v/>
      </c>
      <c r="R152">
        <f t="array" ref="R152">IFERROR(INDEX($L$2:$L$501,SMALL(IF($M$2:$M$501=1,ROW($M$2:$M$501)-1),ROW()-1)),"")</f>
        <v/>
      </c>
      <c r="S152">
        <f t="array" ref="S152">IFERROR(INDEX($L$2:$L$501,SMALL(IF($M$2:$M$501=0,ROW($M$2:$M$501)-1),ROW()-1)),"")</f>
        <v/>
      </c>
      <c r="U152">
        <f t="array" ref="U152">IFERROR(INDEX($C$2:$C$501,SMALL(IF($D$2:$D$501="France",ROW($D$2:$D$501)-1),ROW()-1)),"")</f>
        <v/>
      </c>
      <c r="V152">
        <f t="array" ref="V152">IFERROR(INDEX($C$2:$C$501,SMALL(IF($D$2:$D$501="Germany",ROW($D$2:$D$501)-1),ROW()-1)),"")</f>
        <v/>
      </c>
      <c r="W152">
        <f t="array" ref="W152">IFERROR(INDEX($C$2:$C$501,SMALL(IF($D$2:$D$501="Spain",ROW($D$2:$D$501)-1),ROW()-1)),"")</f>
        <v/>
      </c>
    </row>
    <row r="153">
      <c r="A153" t="n">
        <v>152</v>
      </c>
      <c r="B153" t="inlineStr">
        <is>
          <t>Jones</t>
        </is>
      </c>
      <c r="C153" t="n">
        <v>638</v>
      </c>
      <c r="D153" t="inlineStr">
        <is>
          <t>Spain</t>
        </is>
      </c>
      <c r="E153" t="inlineStr">
        <is>
          <t>Male</t>
        </is>
      </c>
      <c r="F153" t="n">
        <v>35</v>
      </c>
      <c r="G153" t="n">
        <v>3</v>
      </c>
      <c r="H153" t="n">
        <v>29176.44</v>
      </c>
      <c r="I153" t="n">
        <v>4</v>
      </c>
      <c r="J153" t="n">
        <v>1</v>
      </c>
      <c r="K153" t="n">
        <v>1</v>
      </c>
      <c r="L153" t="n">
        <v>119718.19</v>
      </c>
      <c r="M153" t="n">
        <v>0</v>
      </c>
      <c r="O153">
        <f>IF($M153=1,$L153,"")</f>
        <v/>
      </c>
      <c r="P153">
        <f>IF($M153=0,$L153,"")</f>
        <v/>
      </c>
      <c r="R153">
        <f t="array" ref="R153">IFERROR(INDEX($L$2:$L$501,SMALL(IF($M$2:$M$501=1,ROW($M$2:$M$501)-1),ROW()-1)),"")</f>
        <v/>
      </c>
      <c r="S153">
        <f t="array" ref="S153">IFERROR(INDEX($L$2:$L$501,SMALL(IF($M$2:$M$501=0,ROW($M$2:$M$501)-1),ROW()-1)),"")</f>
        <v/>
      </c>
      <c r="U153">
        <f t="array" ref="U153">IFERROR(INDEX($C$2:$C$501,SMALL(IF($D$2:$D$501="France",ROW($D$2:$D$501)-1),ROW()-1)),"")</f>
        <v/>
      </c>
      <c r="V153">
        <f t="array" ref="V153">IFERROR(INDEX($C$2:$C$501,SMALL(IF($D$2:$D$501="Germany",ROW($D$2:$D$501)-1),ROW()-1)),"")</f>
        <v/>
      </c>
      <c r="W153">
        <f t="array" ref="W153">IFERROR(INDEX($C$2:$C$501,SMALL(IF($D$2:$D$501="Spain",ROW($D$2:$D$501)-1),ROW()-1)),"")</f>
        <v/>
      </c>
    </row>
    <row r="154">
      <c r="A154" t="n">
        <v>153</v>
      </c>
      <c r="B154" t="inlineStr">
        <is>
          <t>Miller</t>
        </is>
      </c>
      <c r="C154" t="n">
        <v>640</v>
      </c>
      <c r="D154" t="inlineStr">
        <is>
          <t>Spain</t>
        </is>
      </c>
      <c r="E154" t="inlineStr">
        <is>
          <t>Male</t>
        </is>
      </c>
      <c r="F154" t="n">
        <v>70</v>
      </c>
      <c r="G154" t="n">
        <v>2</v>
      </c>
      <c r="H154" t="n">
        <v>47856.39</v>
      </c>
      <c r="I154" t="n">
        <v>1</v>
      </c>
      <c r="J154" t="n">
        <v>0</v>
      </c>
      <c r="K154" t="n">
        <v>1</v>
      </c>
      <c r="L154" t="n">
        <v>11462.63</v>
      </c>
      <c r="M154" t="n">
        <v>1</v>
      </c>
      <c r="O154">
        <f>IF($M154=1,$L154,"")</f>
        <v/>
      </c>
      <c r="P154">
        <f>IF($M154=0,$L154,"")</f>
        <v/>
      </c>
      <c r="R154">
        <f t="array" ref="R154">IFERROR(INDEX($L$2:$L$501,SMALL(IF($M$2:$M$501=1,ROW($M$2:$M$501)-1),ROW()-1)),"")</f>
        <v/>
      </c>
      <c r="S154">
        <f t="array" ref="S154">IFERROR(INDEX($L$2:$L$501,SMALL(IF($M$2:$M$501=0,ROW($M$2:$M$501)-1),ROW()-1)),"")</f>
        <v/>
      </c>
      <c r="U154">
        <f t="array" ref="U154">IFERROR(INDEX($C$2:$C$501,SMALL(IF($D$2:$D$501="France",ROW($D$2:$D$501)-1),ROW()-1)),"")</f>
        <v/>
      </c>
      <c r="V154">
        <f t="array" ref="V154">IFERROR(INDEX($C$2:$C$501,SMALL(IF($D$2:$D$501="Germany",ROW($D$2:$D$501)-1),ROW()-1)),"")</f>
        <v/>
      </c>
      <c r="W154">
        <f t="array" ref="W154">IFERROR(INDEX($C$2:$C$501,SMALL(IF($D$2:$D$501="Spain",ROW($D$2:$D$501)-1),ROW()-1)),"")</f>
        <v/>
      </c>
    </row>
    <row r="155">
      <c r="A155" t="n">
        <v>154</v>
      </c>
      <c r="B155" t="inlineStr">
        <is>
          <t>Taylor</t>
        </is>
      </c>
      <c r="C155" t="n">
        <v>465</v>
      </c>
      <c r="D155" t="inlineStr">
        <is>
          <t>France</t>
        </is>
      </c>
      <c r="E155" t="inlineStr">
        <is>
          <t>Female</t>
        </is>
      </c>
      <c r="F155" t="n">
        <v>26</v>
      </c>
      <c r="G155" t="n">
        <v>1</v>
      </c>
      <c r="H155" t="n">
        <v>197384.58</v>
      </c>
      <c r="I155" t="n">
        <v>3</v>
      </c>
      <c r="J155" t="n">
        <v>0</v>
      </c>
      <c r="K155" t="n">
        <v>0</v>
      </c>
      <c r="L155" t="n">
        <v>73040.67</v>
      </c>
      <c r="M155" t="n">
        <v>1</v>
      </c>
      <c r="O155">
        <f>IF($M155=1,$L155,"")</f>
        <v/>
      </c>
      <c r="P155">
        <f>IF($M155=0,$L155,"")</f>
        <v/>
      </c>
      <c r="R155">
        <f t="array" ref="R155">IFERROR(INDEX($L$2:$L$501,SMALL(IF($M$2:$M$501=1,ROW($M$2:$M$501)-1),ROW()-1)),"")</f>
        <v/>
      </c>
      <c r="S155">
        <f t="array" ref="S155">IFERROR(INDEX($L$2:$L$501,SMALL(IF($M$2:$M$501=0,ROW($M$2:$M$501)-1),ROW()-1)),"")</f>
        <v/>
      </c>
      <c r="U155">
        <f t="array" ref="U155">IFERROR(INDEX($C$2:$C$501,SMALL(IF($D$2:$D$501="France",ROW($D$2:$D$501)-1),ROW()-1)),"")</f>
        <v/>
      </c>
      <c r="V155">
        <f t="array" ref="V155">IFERROR(INDEX($C$2:$C$501,SMALL(IF($D$2:$D$501="Germany",ROW($D$2:$D$501)-1),ROW()-1)),"")</f>
        <v/>
      </c>
      <c r="W155">
        <f t="array" ref="W155">IFERROR(INDEX($C$2:$C$501,SMALL(IF($D$2:$D$501="Spain",ROW($D$2:$D$501)-1),ROW()-1)),"")</f>
        <v/>
      </c>
    </row>
    <row r="156">
      <c r="A156" t="n">
        <v>155</v>
      </c>
      <c r="B156" t="inlineStr">
        <is>
          <t>Moore</t>
        </is>
      </c>
      <c r="C156" t="n">
        <v>437</v>
      </c>
      <c r="D156" t="inlineStr">
        <is>
          <t>Spain</t>
        </is>
      </c>
      <c r="E156" t="inlineStr">
        <is>
          <t>Male</t>
        </is>
      </c>
      <c r="F156" t="n">
        <v>23</v>
      </c>
      <c r="G156" t="n">
        <v>9</v>
      </c>
      <c r="H156" t="n">
        <v>118047.52</v>
      </c>
      <c r="I156" t="n">
        <v>4</v>
      </c>
      <c r="J156" t="n">
        <v>0</v>
      </c>
      <c r="K156" t="n">
        <v>1</v>
      </c>
      <c r="L156" t="n">
        <v>69509.75999999999</v>
      </c>
      <c r="M156" t="n">
        <v>1</v>
      </c>
      <c r="O156">
        <f>IF($M156=1,$L156,"")</f>
        <v/>
      </c>
      <c r="P156">
        <f>IF($M156=0,$L156,"")</f>
        <v/>
      </c>
      <c r="R156">
        <f t="array" ref="R156">IFERROR(INDEX($L$2:$L$501,SMALL(IF($M$2:$M$501=1,ROW($M$2:$M$501)-1),ROW()-1)),"")</f>
        <v/>
      </c>
      <c r="S156">
        <f t="array" ref="S156">IFERROR(INDEX($L$2:$L$501,SMALL(IF($M$2:$M$501=0,ROW($M$2:$M$501)-1),ROW()-1)),"")</f>
        <v/>
      </c>
      <c r="U156">
        <f t="array" ref="U156">IFERROR(INDEX($C$2:$C$501,SMALL(IF($D$2:$D$501="France",ROW($D$2:$D$501)-1),ROW()-1)),"")</f>
        <v/>
      </c>
      <c r="V156">
        <f t="array" ref="V156">IFERROR(INDEX($C$2:$C$501,SMALL(IF($D$2:$D$501="Germany",ROW($D$2:$D$501)-1),ROW()-1)),"")</f>
        <v/>
      </c>
      <c r="W156">
        <f t="array" ref="W156">IFERROR(INDEX($C$2:$C$501,SMALL(IF($D$2:$D$501="Spain",ROW($D$2:$D$501)-1),ROW()-1)),"")</f>
        <v/>
      </c>
    </row>
    <row r="157">
      <c r="A157" t="n">
        <v>156</v>
      </c>
      <c r="B157" t="inlineStr">
        <is>
          <t>Smith</t>
        </is>
      </c>
      <c r="C157" t="n">
        <v>474</v>
      </c>
      <c r="D157" t="inlineStr">
        <is>
          <t>Germany</t>
        </is>
      </c>
      <c r="E157" t="inlineStr">
        <is>
          <t>Female</t>
        </is>
      </c>
      <c r="F157" t="n">
        <v>28</v>
      </c>
      <c r="G157" t="n">
        <v>5</v>
      </c>
      <c r="H157" t="n">
        <v>209434.77</v>
      </c>
      <c r="I157" t="n">
        <v>2</v>
      </c>
      <c r="J157" t="n">
        <v>0</v>
      </c>
      <c r="K157" t="n">
        <v>0</v>
      </c>
      <c r="L157" t="n">
        <v>42983.99</v>
      </c>
      <c r="M157" t="n">
        <v>0</v>
      </c>
      <c r="O157">
        <f>IF($M157=1,$L157,"")</f>
        <v/>
      </c>
      <c r="P157">
        <f>IF($M157=0,$L157,"")</f>
        <v/>
      </c>
      <c r="R157">
        <f t="array" ref="R157">IFERROR(INDEX($L$2:$L$501,SMALL(IF($M$2:$M$501=1,ROW($M$2:$M$501)-1),ROW()-1)),"")</f>
        <v/>
      </c>
      <c r="S157">
        <f t="array" ref="S157">IFERROR(INDEX($L$2:$L$501,SMALL(IF($M$2:$M$501=0,ROW($M$2:$M$501)-1),ROW()-1)),"")</f>
        <v/>
      </c>
      <c r="U157">
        <f t="array" ref="U157">IFERROR(INDEX($C$2:$C$501,SMALL(IF($D$2:$D$501="France",ROW($D$2:$D$501)-1),ROW()-1)),"")</f>
        <v/>
      </c>
      <c r="V157">
        <f t="array" ref="V157">IFERROR(INDEX($C$2:$C$501,SMALL(IF($D$2:$D$501="Germany",ROW($D$2:$D$501)-1),ROW()-1)),"")</f>
        <v/>
      </c>
      <c r="W157">
        <f t="array" ref="W157">IFERROR(INDEX($C$2:$C$501,SMALL(IF($D$2:$D$501="Spain",ROW($D$2:$D$501)-1),ROW()-1)),"")</f>
        <v/>
      </c>
    </row>
    <row r="158">
      <c r="A158" t="n">
        <v>157</v>
      </c>
      <c r="B158" t="inlineStr">
        <is>
          <t>Moore</t>
        </is>
      </c>
      <c r="C158" t="n">
        <v>759</v>
      </c>
      <c r="D158" t="inlineStr">
        <is>
          <t>France</t>
        </is>
      </c>
      <c r="E158" t="inlineStr">
        <is>
          <t>Male</t>
        </is>
      </c>
      <c r="F158" t="n">
        <v>80</v>
      </c>
      <c r="G158" t="n">
        <v>6</v>
      </c>
      <c r="H158" t="n">
        <v>80712.23</v>
      </c>
      <c r="I158" t="n">
        <v>4</v>
      </c>
      <c r="J158" t="n">
        <v>1</v>
      </c>
      <c r="K158" t="n">
        <v>0</v>
      </c>
      <c r="L158" t="n">
        <v>49445.48</v>
      </c>
      <c r="M158" t="n">
        <v>1</v>
      </c>
      <c r="O158">
        <f>IF($M158=1,$L158,"")</f>
        <v/>
      </c>
      <c r="P158">
        <f>IF($M158=0,$L158,"")</f>
        <v/>
      </c>
      <c r="R158">
        <f t="array" ref="R158">IFERROR(INDEX($L$2:$L$501,SMALL(IF($M$2:$M$501=1,ROW($M$2:$M$501)-1),ROW()-1)),"")</f>
        <v/>
      </c>
      <c r="S158">
        <f t="array" ref="S158">IFERROR(INDEX($L$2:$L$501,SMALL(IF($M$2:$M$501=0,ROW($M$2:$M$501)-1),ROW()-1)),"")</f>
        <v/>
      </c>
      <c r="U158">
        <f t="array" ref="U158">IFERROR(INDEX($C$2:$C$501,SMALL(IF($D$2:$D$501="France",ROW($D$2:$D$501)-1),ROW()-1)),"")</f>
        <v/>
      </c>
      <c r="V158">
        <f t="array" ref="V158">IFERROR(INDEX($C$2:$C$501,SMALL(IF($D$2:$D$501="Germany",ROW($D$2:$D$501)-1),ROW()-1)),"")</f>
        <v/>
      </c>
      <c r="W158">
        <f t="array" ref="W158">IFERROR(INDEX($C$2:$C$501,SMALL(IF($D$2:$D$501="Spain",ROW($D$2:$D$501)-1),ROW()-1)),"")</f>
        <v/>
      </c>
    </row>
    <row r="159">
      <c r="A159" t="n">
        <v>158</v>
      </c>
      <c r="B159" t="inlineStr">
        <is>
          <t>Davis</t>
        </is>
      </c>
      <c r="C159" t="n">
        <v>524</v>
      </c>
      <c r="D159" t="inlineStr">
        <is>
          <t>Spain</t>
        </is>
      </c>
      <c r="E159" t="inlineStr">
        <is>
          <t>Male</t>
        </is>
      </c>
      <c r="F159" t="n">
        <v>47</v>
      </c>
      <c r="G159" t="n">
        <v>1</v>
      </c>
      <c r="H159" t="n">
        <v>95799.03</v>
      </c>
      <c r="I159" t="n">
        <v>4</v>
      </c>
      <c r="J159" t="n">
        <v>0</v>
      </c>
      <c r="K159" t="n">
        <v>1</v>
      </c>
      <c r="L159" t="n">
        <v>105598.56</v>
      </c>
      <c r="M159" t="n">
        <v>0</v>
      </c>
      <c r="O159">
        <f>IF($M159=1,$L159,"")</f>
        <v/>
      </c>
      <c r="P159">
        <f>IF($M159=0,$L159,"")</f>
        <v/>
      </c>
      <c r="R159">
        <f t="array" ref="R159">IFERROR(INDEX($L$2:$L$501,SMALL(IF($M$2:$M$501=1,ROW($M$2:$M$501)-1),ROW()-1)),"")</f>
        <v/>
      </c>
      <c r="S159">
        <f t="array" ref="S159">IFERROR(INDEX($L$2:$L$501,SMALL(IF($M$2:$M$501=0,ROW($M$2:$M$501)-1),ROW()-1)),"")</f>
        <v/>
      </c>
      <c r="U159">
        <f t="array" ref="U159">IFERROR(INDEX($C$2:$C$501,SMALL(IF($D$2:$D$501="France",ROW($D$2:$D$501)-1),ROW()-1)),"")</f>
        <v/>
      </c>
      <c r="V159">
        <f t="array" ref="V159">IFERROR(INDEX($C$2:$C$501,SMALL(IF($D$2:$D$501="Germany",ROW($D$2:$D$501)-1),ROW()-1)),"")</f>
        <v/>
      </c>
      <c r="W159">
        <f t="array" ref="W159">IFERROR(INDEX($C$2:$C$501,SMALL(IF($D$2:$D$501="Spain",ROW($D$2:$D$501)-1),ROW()-1)),"")</f>
        <v/>
      </c>
    </row>
    <row r="160">
      <c r="A160" t="n">
        <v>159</v>
      </c>
      <c r="B160" t="inlineStr">
        <is>
          <t>Taylor</t>
        </is>
      </c>
      <c r="C160" t="n">
        <v>848</v>
      </c>
      <c r="D160" t="inlineStr">
        <is>
          <t>France</t>
        </is>
      </c>
      <c r="E160" t="inlineStr">
        <is>
          <t>Male</t>
        </is>
      </c>
      <c r="F160" t="n">
        <v>29</v>
      </c>
      <c r="G160" t="n">
        <v>10</v>
      </c>
      <c r="H160" t="n">
        <v>208033.65</v>
      </c>
      <c r="I160" t="n">
        <v>4</v>
      </c>
      <c r="J160" t="n">
        <v>1</v>
      </c>
      <c r="K160" t="n">
        <v>1</v>
      </c>
      <c r="L160" t="n">
        <v>43662.79</v>
      </c>
      <c r="M160" t="n">
        <v>1</v>
      </c>
      <c r="O160">
        <f>IF($M160=1,$L160,"")</f>
        <v/>
      </c>
      <c r="P160">
        <f>IF($M160=0,$L160,"")</f>
        <v/>
      </c>
      <c r="R160">
        <f t="array" ref="R160">IFERROR(INDEX($L$2:$L$501,SMALL(IF($M$2:$M$501=1,ROW($M$2:$M$501)-1),ROW()-1)),"")</f>
        <v/>
      </c>
      <c r="S160">
        <f t="array" ref="S160">IFERROR(INDEX($L$2:$L$501,SMALL(IF($M$2:$M$501=0,ROW($M$2:$M$501)-1),ROW()-1)),"")</f>
        <v/>
      </c>
      <c r="U160">
        <f t="array" ref="U160">IFERROR(INDEX($C$2:$C$501,SMALL(IF($D$2:$D$501="France",ROW($D$2:$D$501)-1),ROW()-1)),"")</f>
        <v/>
      </c>
      <c r="V160">
        <f t="array" ref="V160">IFERROR(INDEX($C$2:$C$501,SMALL(IF($D$2:$D$501="Germany",ROW($D$2:$D$501)-1),ROW()-1)),"")</f>
        <v/>
      </c>
      <c r="W160">
        <f t="array" ref="W160">IFERROR(INDEX($C$2:$C$501,SMALL(IF($D$2:$D$501="Spain",ROW($D$2:$D$501)-1),ROW()-1)),"")</f>
        <v/>
      </c>
    </row>
    <row r="161">
      <c r="A161" t="n">
        <v>160</v>
      </c>
      <c r="B161" t="inlineStr">
        <is>
          <t>Smith</t>
        </is>
      </c>
      <c r="C161" t="n">
        <v>713</v>
      </c>
      <c r="D161" t="inlineStr">
        <is>
          <t>Germany</t>
        </is>
      </c>
      <c r="E161" t="inlineStr">
        <is>
          <t>Female</t>
        </is>
      </c>
      <c r="F161" t="n">
        <v>48</v>
      </c>
      <c r="G161" t="n">
        <v>8</v>
      </c>
      <c r="H161" t="n">
        <v>16907.88</v>
      </c>
      <c r="I161" t="n">
        <v>3</v>
      </c>
      <c r="J161" t="n">
        <v>0</v>
      </c>
      <c r="K161" t="n">
        <v>0</v>
      </c>
      <c r="L161" t="n">
        <v>113646.28</v>
      </c>
      <c r="M161" t="n">
        <v>1</v>
      </c>
      <c r="O161">
        <f>IF($M161=1,$L161,"")</f>
        <v/>
      </c>
      <c r="P161">
        <f>IF($M161=0,$L161,"")</f>
        <v/>
      </c>
      <c r="R161">
        <f t="array" ref="R161">IFERROR(INDEX($L$2:$L$501,SMALL(IF($M$2:$M$501=1,ROW($M$2:$M$501)-1),ROW()-1)),"")</f>
        <v/>
      </c>
      <c r="S161">
        <f t="array" ref="S161">IFERROR(INDEX($L$2:$L$501,SMALL(IF($M$2:$M$501=0,ROW($M$2:$M$501)-1),ROW()-1)),"")</f>
        <v/>
      </c>
      <c r="U161">
        <f t="array" ref="U161">IFERROR(INDEX($C$2:$C$501,SMALL(IF($D$2:$D$501="France",ROW($D$2:$D$501)-1),ROW()-1)),"")</f>
        <v/>
      </c>
      <c r="V161">
        <f t="array" ref="V161">IFERROR(INDEX($C$2:$C$501,SMALL(IF($D$2:$D$501="Germany",ROW($D$2:$D$501)-1),ROW()-1)),"")</f>
        <v/>
      </c>
      <c r="W161">
        <f t="array" ref="W161">IFERROR(INDEX($C$2:$C$501,SMALL(IF($D$2:$D$501="Spain",ROW($D$2:$D$501)-1),ROW()-1)),"")</f>
        <v/>
      </c>
    </row>
    <row r="162">
      <c r="A162" t="n">
        <v>161</v>
      </c>
      <c r="B162" t="inlineStr">
        <is>
          <t>Taylor</t>
        </is>
      </c>
      <c r="C162" t="n">
        <v>402</v>
      </c>
      <c r="D162" t="inlineStr">
        <is>
          <t>Spain</t>
        </is>
      </c>
      <c r="E162" t="inlineStr">
        <is>
          <t>Male</t>
        </is>
      </c>
      <c r="F162" t="n">
        <v>89</v>
      </c>
      <c r="G162" t="n">
        <v>7</v>
      </c>
      <c r="H162" t="n">
        <v>205105.61</v>
      </c>
      <c r="I162" t="n">
        <v>3</v>
      </c>
      <c r="J162" t="n">
        <v>1</v>
      </c>
      <c r="K162" t="n">
        <v>0</v>
      </c>
      <c r="L162" t="n">
        <v>75716.98</v>
      </c>
      <c r="M162" t="n">
        <v>1</v>
      </c>
      <c r="O162">
        <f>IF($M162=1,$L162,"")</f>
        <v/>
      </c>
      <c r="P162">
        <f>IF($M162=0,$L162,"")</f>
        <v/>
      </c>
      <c r="R162">
        <f t="array" ref="R162">IFERROR(INDEX($L$2:$L$501,SMALL(IF($M$2:$M$501=1,ROW($M$2:$M$501)-1),ROW()-1)),"")</f>
        <v/>
      </c>
      <c r="S162">
        <f t="array" ref="S162">IFERROR(INDEX($L$2:$L$501,SMALL(IF($M$2:$M$501=0,ROW($M$2:$M$501)-1),ROW()-1)),"")</f>
        <v/>
      </c>
      <c r="U162">
        <f t="array" ref="U162">IFERROR(INDEX($C$2:$C$501,SMALL(IF($D$2:$D$501="France",ROW($D$2:$D$501)-1),ROW()-1)),"")</f>
        <v/>
      </c>
      <c r="V162">
        <f t="array" ref="V162">IFERROR(INDEX($C$2:$C$501,SMALL(IF($D$2:$D$501="Germany",ROW($D$2:$D$501)-1),ROW()-1)),"")</f>
        <v/>
      </c>
      <c r="W162">
        <f t="array" ref="W162">IFERROR(INDEX($C$2:$C$501,SMALL(IF($D$2:$D$501="Spain",ROW($D$2:$D$501)-1),ROW()-1)),"")</f>
        <v/>
      </c>
    </row>
    <row r="163">
      <c r="A163" t="n">
        <v>162</v>
      </c>
      <c r="B163" t="inlineStr">
        <is>
          <t>Miller</t>
        </is>
      </c>
      <c r="C163" t="n">
        <v>839</v>
      </c>
      <c r="D163" t="inlineStr">
        <is>
          <t>Germany</t>
        </is>
      </c>
      <c r="E163" t="inlineStr">
        <is>
          <t>Female</t>
        </is>
      </c>
      <c r="F163" t="n">
        <v>76</v>
      </c>
      <c r="G163" t="n">
        <v>7</v>
      </c>
      <c r="H163" t="n">
        <v>51347.49</v>
      </c>
      <c r="I163" t="n">
        <v>4</v>
      </c>
      <c r="J163" t="n">
        <v>0</v>
      </c>
      <c r="K163" t="n">
        <v>1</v>
      </c>
      <c r="L163" t="n">
        <v>21151.48</v>
      </c>
      <c r="M163" t="n">
        <v>0</v>
      </c>
      <c r="O163">
        <f>IF($M163=1,$L163,"")</f>
        <v/>
      </c>
      <c r="P163">
        <f>IF($M163=0,$L163,"")</f>
        <v/>
      </c>
      <c r="R163">
        <f t="array" ref="R163">IFERROR(INDEX($L$2:$L$501,SMALL(IF($M$2:$M$501=1,ROW($M$2:$M$501)-1),ROW()-1)),"")</f>
        <v/>
      </c>
      <c r="S163">
        <f t="array" ref="S163">IFERROR(INDEX($L$2:$L$501,SMALL(IF($M$2:$M$501=0,ROW($M$2:$M$501)-1),ROW()-1)),"")</f>
        <v/>
      </c>
      <c r="U163">
        <f t="array" ref="U163">IFERROR(INDEX($C$2:$C$501,SMALL(IF($D$2:$D$501="France",ROW($D$2:$D$501)-1),ROW()-1)),"")</f>
        <v/>
      </c>
      <c r="V163">
        <f t="array" ref="V163">IFERROR(INDEX($C$2:$C$501,SMALL(IF($D$2:$D$501="Germany",ROW($D$2:$D$501)-1),ROW()-1)),"")</f>
        <v/>
      </c>
      <c r="W163">
        <f t="array" ref="W163">IFERROR(INDEX($C$2:$C$501,SMALL(IF($D$2:$D$501="Spain",ROW($D$2:$D$501)-1),ROW()-1)),"")</f>
        <v/>
      </c>
    </row>
    <row r="164">
      <c r="A164" t="n">
        <v>163</v>
      </c>
      <c r="B164" t="inlineStr">
        <is>
          <t>Davis</t>
        </is>
      </c>
      <c r="C164" t="n">
        <v>460</v>
      </c>
      <c r="D164" t="inlineStr">
        <is>
          <t>France</t>
        </is>
      </c>
      <c r="E164" t="inlineStr">
        <is>
          <t>Male</t>
        </is>
      </c>
      <c r="F164" t="n">
        <v>60</v>
      </c>
      <c r="G164" t="n">
        <v>3</v>
      </c>
      <c r="H164" t="n">
        <v>163732.6</v>
      </c>
      <c r="I164" t="n">
        <v>1</v>
      </c>
      <c r="J164" t="n">
        <v>1</v>
      </c>
      <c r="K164" t="n">
        <v>0</v>
      </c>
      <c r="L164" t="n">
        <v>66914.64999999999</v>
      </c>
      <c r="M164" t="n">
        <v>0</v>
      </c>
      <c r="O164">
        <f>IF($M164=1,$L164,"")</f>
        <v/>
      </c>
      <c r="P164">
        <f>IF($M164=0,$L164,"")</f>
        <v/>
      </c>
      <c r="R164">
        <f t="array" ref="R164">IFERROR(INDEX($L$2:$L$501,SMALL(IF($M$2:$M$501=1,ROW($M$2:$M$501)-1),ROW()-1)),"")</f>
        <v/>
      </c>
      <c r="S164">
        <f t="array" ref="S164">IFERROR(INDEX($L$2:$L$501,SMALL(IF($M$2:$M$501=0,ROW($M$2:$M$501)-1),ROW()-1)),"")</f>
        <v/>
      </c>
      <c r="U164">
        <f t="array" ref="U164">IFERROR(INDEX($C$2:$C$501,SMALL(IF($D$2:$D$501="France",ROW($D$2:$D$501)-1),ROW()-1)),"")</f>
        <v/>
      </c>
      <c r="V164">
        <f t="array" ref="V164">IFERROR(INDEX($C$2:$C$501,SMALL(IF($D$2:$D$501="Germany",ROW($D$2:$D$501)-1),ROW()-1)),"")</f>
        <v/>
      </c>
      <c r="W164">
        <f t="array" ref="W164">IFERROR(INDEX($C$2:$C$501,SMALL(IF($D$2:$D$501="Spain",ROW($D$2:$D$501)-1),ROW()-1)),"")</f>
        <v/>
      </c>
    </row>
    <row r="165">
      <c r="A165" t="n">
        <v>164</v>
      </c>
      <c r="B165" t="inlineStr">
        <is>
          <t>Jones</t>
        </is>
      </c>
      <c r="C165" t="n">
        <v>414</v>
      </c>
      <c r="D165" t="inlineStr">
        <is>
          <t>France</t>
        </is>
      </c>
      <c r="E165" t="inlineStr">
        <is>
          <t>Female</t>
        </is>
      </c>
      <c r="F165" t="n">
        <v>89</v>
      </c>
      <c r="G165" t="n">
        <v>4</v>
      </c>
      <c r="H165" t="n">
        <v>133217.37</v>
      </c>
      <c r="I165" t="n">
        <v>1</v>
      </c>
      <c r="J165" t="n">
        <v>0</v>
      </c>
      <c r="K165" t="n">
        <v>1</v>
      </c>
      <c r="L165" t="n">
        <v>120812.2</v>
      </c>
      <c r="M165" t="n">
        <v>1</v>
      </c>
      <c r="O165">
        <f>IF($M165=1,$L165,"")</f>
        <v/>
      </c>
      <c r="P165">
        <f>IF($M165=0,$L165,"")</f>
        <v/>
      </c>
      <c r="R165">
        <f t="array" ref="R165">IFERROR(INDEX($L$2:$L$501,SMALL(IF($M$2:$M$501=1,ROW($M$2:$M$501)-1),ROW()-1)),"")</f>
        <v/>
      </c>
      <c r="S165">
        <f t="array" ref="S165">IFERROR(INDEX($L$2:$L$501,SMALL(IF($M$2:$M$501=0,ROW($M$2:$M$501)-1),ROW()-1)),"")</f>
        <v/>
      </c>
      <c r="U165">
        <f t="array" ref="U165">IFERROR(INDEX($C$2:$C$501,SMALL(IF($D$2:$D$501="France",ROW($D$2:$D$501)-1),ROW()-1)),"")</f>
        <v/>
      </c>
      <c r="V165">
        <f t="array" ref="V165">IFERROR(INDEX($C$2:$C$501,SMALL(IF($D$2:$D$501="Germany",ROW($D$2:$D$501)-1),ROW()-1)),"")</f>
        <v/>
      </c>
      <c r="W165">
        <f t="array" ref="W165">IFERROR(INDEX($C$2:$C$501,SMALL(IF($D$2:$D$501="Spain",ROW($D$2:$D$501)-1),ROW()-1)),"")</f>
        <v/>
      </c>
    </row>
    <row r="166">
      <c r="A166" t="n">
        <v>165</v>
      </c>
      <c r="B166" t="inlineStr">
        <is>
          <t>Johnson</t>
        </is>
      </c>
      <c r="C166" t="n">
        <v>682</v>
      </c>
      <c r="D166" t="inlineStr">
        <is>
          <t>Spain</t>
        </is>
      </c>
      <c r="E166" t="inlineStr">
        <is>
          <t>Female</t>
        </is>
      </c>
      <c r="F166" t="n">
        <v>43</v>
      </c>
      <c r="G166" t="n">
        <v>9</v>
      </c>
      <c r="H166" t="n">
        <v>197321.37</v>
      </c>
      <c r="I166" t="n">
        <v>4</v>
      </c>
      <c r="J166" t="n">
        <v>0</v>
      </c>
      <c r="K166" t="n">
        <v>0</v>
      </c>
      <c r="L166" t="n">
        <v>28096.07</v>
      </c>
      <c r="M166" t="n">
        <v>1</v>
      </c>
      <c r="O166">
        <f>IF($M166=1,$L166,"")</f>
        <v/>
      </c>
      <c r="P166">
        <f>IF($M166=0,$L166,"")</f>
        <v/>
      </c>
      <c r="R166">
        <f t="array" ref="R166">IFERROR(INDEX($L$2:$L$501,SMALL(IF($M$2:$M$501=1,ROW($M$2:$M$501)-1),ROW()-1)),"")</f>
        <v/>
      </c>
      <c r="S166">
        <f t="array" ref="S166">IFERROR(INDEX($L$2:$L$501,SMALL(IF($M$2:$M$501=0,ROW($M$2:$M$501)-1),ROW()-1)),"")</f>
        <v/>
      </c>
      <c r="U166">
        <f t="array" ref="U166">IFERROR(INDEX($C$2:$C$501,SMALL(IF($D$2:$D$501="France",ROW($D$2:$D$501)-1),ROW()-1)),"")</f>
        <v/>
      </c>
      <c r="V166">
        <f t="array" ref="V166">IFERROR(INDEX($C$2:$C$501,SMALL(IF($D$2:$D$501="Germany",ROW($D$2:$D$501)-1),ROW()-1)),"")</f>
        <v/>
      </c>
      <c r="W166">
        <f t="array" ref="W166">IFERROR(INDEX($C$2:$C$501,SMALL(IF($D$2:$D$501="Spain",ROW($D$2:$D$501)-1),ROW()-1)),"")</f>
        <v/>
      </c>
    </row>
    <row r="167">
      <c r="A167" t="n">
        <v>166</v>
      </c>
      <c r="B167" t="inlineStr">
        <is>
          <t>Moore</t>
        </is>
      </c>
      <c r="C167" t="n">
        <v>724</v>
      </c>
      <c r="D167" t="inlineStr">
        <is>
          <t>Germany</t>
        </is>
      </c>
      <c r="E167" t="inlineStr">
        <is>
          <t>Female</t>
        </is>
      </c>
      <c r="F167" t="n">
        <v>72</v>
      </c>
      <c r="G167" t="n">
        <v>6</v>
      </c>
      <c r="H167" t="n">
        <v>191624.47</v>
      </c>
      <c r="I167" t="n">
        <v>3</v>
      </c>
      <c r="J167" t="n">
        <v>0</v>
      </c>
      <c r="K167" t="n">
        <v>0</v>
      </c>
      <c r="L167" t="n">
        <v>80375.98</v>
      </c>
      <c r="M167" t="n">
        <v>0</v>
      </c>
      <c r="O167">
        <f>IF($M167=1,$L167,"")</f>
        <v/>
      </c>
      <c r="P167">
        <f>IF($M167=0,$L167,"")</f>
        <v/>
      </c>
      <c r="R167">
        <f t="array" ref="R167">IFERROR(INDEX($L$2:$L$501,SMALL(IF($M$2:$M$501=1,ROW($M$2:$M$501)-1),ROW()-1)),"")</f>
        <v/>
      </c>
      <c r="S167">
        <f t="array" ref="S167">IFERROR(INDEX($L$2:$L$501,SMALL(IF($M$2:$M$501=0,ROW($M$2:$M$501)-1),ROW()-1)),"")</f>
        <v/>
      </c>
      <c r="U167">
        <f t="array" ref="U167">IFERROR(INDEX($C$2:$C$501,SMALL(IF($D$2:$D$501="France",ROW($D$2:$D$501)-1),ROW()-1)),"")</f>
        <v/>
      </c>
      <c r="V167">
        <f t="array" ref="V167">IFERROR(INDEX($C$2:$C$501,SMALL(IF($D$2:$D$501="Germany",ROW($D$2:$D$501)-1),ROW()-1)),"")</f>
        <v/>
      </c>
      <c r="W167">
        <f t="array" ref="W167">IFERROR(INDEX($C$2:$C$501,SMALL(IF($D$2:$D$501="Spain",ROW($D$2:$D$501)-1),ROW()-1)),"")</f>
        <v/>
      </c>
    </row>
    <row r="168">
      <c r="A168" t="n">
        <v>167</v>
      </c>
      <c r="B168" t="inlineStr">
        <is>
          <t>Smith</t>
        </is>
      </c>
      <c r="C168" t="n">
        <v>423</v>
      </c>
      <c r="D168" t="inlineStr">
        <is>
          <t>France</t>
        </is>
      </c>
      <c r="E168" t="inlineStr">
        <is>
          <t>Female</t>
        </is>
      </c>
      <c r="F168" t="n">
        <v>43</v>
      </c>
      <c r="G168" t="n">
        <v>9</v>
      </c>
      <c r="H168" t="n">
        <v>143851</v>
      </c>
      <c r="I168" t="n">
        <v>1</v>
      </c>
      <c r="J168" t="n">
        <v>0</v>
      </c>
      <c r="K168" t="n">
        <v>1</v>
      </c>
      <c r="L168" t="n">
        <v>36084.61</v>
      </c>
      <c r="M168" t="n">
        <v>1</v>
      </c>
      <c r="O168">
        <f>IF($M168=1,$L168,"")</f>
        <v/>
      </c>
      <c r="P168">
        <f>IF($M168=0,$L168,"")</f>
        <v/>
      </c>
      <c r="R168">
        <f t="array" ref="R168">IFERROR(INDEX($L$2:$L$501,SMALL(IF($M$2:$M$501=1,ROW($M$2:$M$501)-1),ROW()-1)),"")</f>
        <v/>
      </c>
      <c r="S168">
        <f t="array" ref="S168">IFERROR(INDEX($L$2:$L$501,SMALL(IF($M$2:$M$501=0,ROW($M$2:$M$501)-1),ROW()-1)),"")</f>
        <v/>
      </c>
      <c r="U168">
        <f t="array" ref="U168">IFERROR(INDEX($C$2:$C$501,SMALL(IF($D$2:$D$501="France",ROW($D$2:$D$501)-1),ROW()-1)),"")</f>
        <v/>
      </c>
      <c r="V168">
        <f t="array" ref="V168">IFERROR(INDEX($C$2:$C$501,SMALL(IF($D$2:$D$501="Germany",ROW($D$2:$D$501)-1),ROW()-1)),"")</f>
        <v/>
      </c>
      <c r="W168">
        <f t="array" ref="W168">IFERROR(INDEX($C$2:$C$501,SMALL(IF($D$2:$D$501="Spain",ROW($D$2:$D$501)-1),ROW()-1)),"")</f>
        <v/>
      </c>
    </row>
    <row r="169">
      <c r="A169" t="n">
        <v>168</v>
      </c>
      <c r="B169" t="inlineStr">
        <is>
          <t>Brown</t>
        </is>
      </c>
      <c r="C169" t="n">
        <v>496</v>
      </c>
      <c r="D169" t="inlineStr">
        <is>
          <t>Germany</t>
        </is>
      </c>
      <c r="E169" t="inlineStr">
        <is>
          <t>Female</t>
        </is>
      </c>
      <c r="F169" t="n">
        <v>63</v>
      </c>
      <c r="G169" t="n">
        <v>6</v>
      </c>
      <c r="H169" t="n">
        <v>145172.32</v>
      </c>
      <c r="I169" t="n">
        <v>3</v>
      </c>
      <c r="J169" t="n">
        <v>0</v>
      </c>
      <c r="K169" t="n">
        <v>0</v>
      </c>
      <c r="L169" t="n">
        <v>139690.22</v>
      </c>
      <c r="M169" t="n">
        <v>1</v>
      </c>
      <c r="O169">
        <f>IF($M169=1,$L169,"")</f>
        <v/>
      </c>
      <c r="P169">
        <f>IF($M169=0,$L169,"")</f>
        <v/>
      </c>
      <c r="R169">
        <f t="array" ref="R169">IFERROR(INDEX($L$2:$L$501,SMALL(IF($M$2:$M$501=1,ROW($M$2:$M$501)-1),ROW()-1)),"")</f>
        <v/>
      </c>
      <c r="S169">
        <f t="array" ref="S169">IFERROR(INDEX($L$2:$L$501,SMALL(IF($M$2:$M$501=0,ROW($M$2:$M$501)-1),ROW()-1)),"")</f>
        <v/>
      </c>
      <c r="U169">
        <f t="array" ref="U169">IFERROR(INDEX($C$2:$C$501,SMALL(IF($D$2:$D$501="France",ROW($D$2:$D$501)-1),ROW()-1)),"")</f>
        <v/>
      </c>
      <c r="V169">
        <f t="array" ref="V169">IFERROR(INDEX($C$2:$C$501,SMALL(IF($D$2:$D$501="Germany",ROW($D$2:$D$501)-1),ROW()-1)),"")</f>
        <v/>
      </c>
      <c r="W169">
        <f t="array" ref="W169">IFERROR(INDEX($C$2:$C$501,SMALL(IF($D$2:$D$501="Spain",ROW($D$2:$D$501)-1),ROW()-1)),"")</f>
        <v/>
      </c>
    </row>
    <row r="170">
      <c r="A170" t="n">
        <v>169</v>
      </c>
      <c r="B170" t="inlineStr">
        <is>
          <t>Taylor</t>
        </is>
      </c>
      <c r="C170" t="n">
        <v>610</v>
      </c>
      <c r="D170" t="inlineStr">
        <is>
          <t>Germany</t>
        </is>
      </c>
      <c r="E170" t="inlineStr">
        <is>
          <t>Male</t>
        </is>
      </c>
      <c r="F170" t="n">
        <v>21</v>
      </c>
      <c r="G170" t="n">
        <v>4</v>
      </c>
      <c r="H170" t="n">
        <v>183590.26</v>
      </c>
      <c r="I170" t="n">
        <v>3</v>
      </c>
      <c r="J170" t="n">
        <v>1</v>
      </c>
      <c r="K170" t="n">
        <v>1</v>
      </c>
      <c r="L170" t="n">
        <v>86790.47</v>
      </c>
      <c r="M170" t="n">
        <v>0</v>
      </c>
      <c r="O170">
        <f>IF($M170=1,$L170,"")</f>
        <v/>
      </c>
      <c r="P170">
        <f>IF($M170=0,$L170,"")</f>
        <v/>
      </c>
      <c r="R170">
        <f t="array" ref="R170">IFERROR(INDEX($L$2:$L$501,SMALL(IF($M$2:$M$501=1,ROW($M$2:$M$501)-1),ROW()-1)),"")</f>
        <v/>
      </c>
      <c r="S170">
        <f t="array" ref="S170">IFERROR(INDEX($L$2:$L$501,SMALL(IF($M$2:$M$501=0,ROW($M$2:$M$501)-1),ROW()-1)),"")</f>
        <v/>
      </c>
      <c r="U170">
        <f t="array" ref="U170">IFERROR(INDEX($C$2:$C$501,SMALL(IF($D$2:$D$501="France",ROW($D$2:$D$501)-1),ROW()-1)),"")</f>
        <v/>
      </c>
      <c r="V170">
        <f t="array" ref="V170">IFERROR(INDEX($C$2:$C$501,SMALL(IF($D$2:$D$501="Germany",ROW($D$2:$D$501)-1),ROW()-1)),"")</f>
        <v/>
      </c>
      <c r="W170">
        <f t="array" ref="W170">IFERROR(INDEX($C$2:$C$501,SMALL(IF($D$2:$D$501="Spain",ROW($D$2:$D$501)-1),ROW()-1)),"")</f>
        <v/>
      </c>
    </row>
    <row r="171">
      <c r="A171" t="n">
        <v>170</v>
      </c>
      <c r="B171" t="inlineStr">
        <is>
          <t>Miller</t>
        </is>
      </c>
      <c r="C171" t="n">
        <v>613</v>
      </c>
      <c r="D171" t="inlineStr">
        <is>
          <t>Spain</t>
        </is>
      </c>
      <c r="E171" t="inlineStr">
        <is>
          <t>Male</t>
        </is>
      </c>
      <c r="F171" t="n">
        <v>55</v>
      </c>
      <c r="G171" t="n">
        <v>1</v>
      </c>
      <c r="H171" t="n">
        <v>152640.81</v>
      </c>
      <c r="I171" t="n">
        <v>4</v>
      </c>
      <c r="J171" t="n">
        <v>1</v>
      </c>
      <c r="K171" t="n">
        <v>0</v>
      </c>
      <c r="L171" t="n">
        <v>33137.16</v>
      </c>
      <c r="M171" t="n">
        <v>0</v>
      </c>
      <c r="O171">
        <f>IF($M171=1,$L171,"")</f>
        <v/>
      </c>
      <c r="P171">
        <f>IF($M171=0,$L171,"")</f>
        <v/>
      </c>
      <c r="R171">
        <f t="array" ref="R171">IFERROR(INDEX($L$2:$L$501,SMALL(IF($M$2:$M$501=1,ROW($M$2:$M$501)-1),ROW()-1)),"")</f>
        <v/>
      </c>
      <c r="S171">
        <f t="array" ref="S171">IFERROR(INDEX($L$2:$L$501,SMALL(IF($M$2:$M$501=0,ROW($M$2:$M$501)-1),ROW()-1)),"")</f>
        <v/>
      </c>
      <c r="U171">
        <f t="array" ref="U171">IFERROR(INDEX($C$2:$C$501,SMALL(IF($D$2:$D$501="France",ROW($D$2:$D$501)-1),ROW()-1)),"")</f>
        <v/>
      </c>
      <c r="V171">
        <f t="array" ref="V171">IFERROR(INDEX($C$2:$C$501,SMALL(IF($D$2:$D$501="Germany",ROW($D$2:$D$501)-1),ROW()-1)),"")</f>
        <v/>
      </c>
      <c r="W171">
        <f t="array" ref="W171">IFERROR(INDEX($C$2:$C$501,SMALL(IF($D$2:$D$501="Spain",ROW($D$2:$D$501)-1),ROW()-1)),"")</f>
        <v/>
      </c>
    </row>
    <row r="172">
      <c r="A172" t="n">
        <v>171</v>
      </c>
      <c r="B172" t="inlineStr">
        <is>
          <t>Davis</t>
        </is>
      </c>
      <c r="C172" t="n">
        <v>481</v>
      </c>
      <c r="D172" t="inlineStr">
        <is>
          <t>Germany</t>
        </is>
      </c>
      <c r="E172" t="inlineStr">
        <is>
          <t>Female</t>
        </is>
      </c>
      <c r="F172" t="n">
        <v>51</v>
      </c>
      <c r="G172" t="n">
        <v>2</v>
      </c>
      <c r="H172" t="n">
        <v>139747.91</v>
      </c>
      <c r="I172" t="n">
        <v>4</v>
      </c>
      <c r="J172" t="n">
        <v>1</v>
      </c>
      <c r="K172" t="n">
        <v>1</v>
      </c>
      <c r="L172" t="n">
        <v>88266.73</v>
      </c>
      <c r="M172" t="n">
        <v>0</v>
      </c>
      <c r="O172">
        <f>IF($M172=1,$L172,"")</f>
        <v/>
      </c>
      <c r="P172">
        <f>IF($M172=0,$L172,"")</f>
        <v/>
      </c>
      <c r="R172">
        <f t="array" ref="R172">IFERROR(INDEX($L$2:$L$501,SMALL(IF($M$2:$M$501=1,ROW($M$2:$M$501)-1),ROW()-1)),"")</f>
        <v/>
      </c>
      <c r="S172">
        <f t="array" ref="S172">IFERROR(INDEX($L$2:$L$501,SMALL(IF($M$2:$M$501=0,ROW($M$2:$M$501)-1),ROW()-1)),"")</f>
        <v/>
      </c>
      <c r="U172">
        <f t="array" ref="U172">IFERROR(INDEX($C$2:$C$501,SMALL(IF($D$2:$D$501="France",ROW($D$2:$D$501)-1),ROW()-1)),"")</f>
        <v/>
      </c>
      <c r="V172">
        <f t="array" ref="V172">IFERROR(INDEX($C$2:$C$501,SMALL(IF($D$2:$D$501="Germany",ROW($D$2:$D$501)-1),ROW()-1)),"")</f>
        <v/>
      </c>
      <c r="W172">
        <f t="array" ref="W172">IFERROR(INDEX($C$2:$C$501,SMALL(IF($D$2:$D$501="Spain",ROW($D$2:$D$501)-1),ROW()-1)),"")</f>
        <v/>
      </c>
    </row>
    <row r="173">
      <c r="A173" t="n">
        <v>172</v>
      </c>
      <c r="B173" t="inlineStr">
        <is>
          <t>Wilson</t>
        </is>
      </c>
      <c r="C173" t="n">
        <v>398</v>
      </c>
      <c r="D173" t="inlineStr">
        <is>
          <t>France</t>
        </is>
      </c>
      <c r="E173" t="inlineStr">
        <is>
          <t>Female</t>
        </is>
      </c>
      <c r="F173" t="n">
        <v>78</v>
      </c>
      <c r="G173" t="n">
        <v>0</v>
      </c>
      <c r="H173" t="n">
        <v>124423.84</v>
      </c>
      <c r="I173" t="n">
        <v>4</v>
      </c>
      <c r="J173" t="n">
        <v>1</v>
      </c>
      <c r="K173" t="n">
        <v>1</v>
      </c>
      <c r="L173" t="n">
        <v>144202.79</v>
      </c>
      <c r="M173" t="n">
        <v>1</v>
      </c>
      <c r="O173">
        <f>IF($M173=1,$L173,"")</f>
        <v/>
      </c>
      <c r="P173">
        <f>IF($M173=0,$L173,"")</f>
        <v/>
      </c>
      <c r="R173">
        <f t="array" ref="R173">IFERROR(INDEX($L$2:$L$501,SMALL(IF($M$2:$M$501=1,ROW($M$2:$M$501)-1),ROW()-1)),"")</f>
        <v/>
      </c>
      <c r="S173">
        <f t="array" ref="S173">IFERROR(INDEX($L$2:$L$501,SMALL(IF($M$2:$M$501=0,ROW($M$2:$M$501)-1),ROW()-1)),"")</f>
        <v/>
      </c>
      <c r="U173">
        <f t="array" ref="U173">IFERROR(INDEX($C$2:$C$501,SMALL(IF($D$2:$D$501="France",ROW($D$2:$D$501)-1),ROW()-1)),"")</f>
        <v/>
      </c>
      <c r="V173">
        <f t="array" ref="V173">IFERROR(INDEX($C$2:$C$501,SMALL(IF($D$2:$D$501="Germany",ROW($D$2:$D$501)-1),ROW()-1)),"")</f>
        <v/>
      </c>
      <c r="W173">
        <f t="array" ref="W173">IFERROR(INDEX($C$2:$C$501,SMALL(IF($D$2:$D$501="Spain",ROW($D$2:$D$501)-1),ROW()-1)),"")</f>
        <v/>
      </c>
    </row>
    <row r="174">
      <c r="A174" t="n">
        <v>173</v>
      </c>
      <c r="B174" t="inlineStr">
        <is>
          <t>Moore</t>
        </is>
      </c>
      <c r="C174" t="n">
        <v>426</v>
      </c>
      <c r="D174" t="inlineStr">
        <is>
          <t>France</t>
        </is>
      </c>
      <c r="E174" t="inlineStr">
        <is>
          <t>Female</t>
        </is>
      </c>
      <c r="F174" t="n">
        <v>25</v>
      </c>
      <c r="G174" t="n">
        <v>0</v>
      </c>
      <c r="H174" t="n">
        <v>239377.45</v>
      </c>
      <c r="I174" t="n">
        <v>4</v>
      </c>
      <c r="J174" t="n">
        <v>0</v>
      </c>
      <c r="K174" t="n">
        <v>1</v>
      </c>
      <c r="L174" t="n">
        <v>126167.25</v>
      </c>
      <c r="M174" t="n">
        <v>0</v>
      </c>
      <c r="O174">
        <f>IF($M174=1,$L174,"")</f>
        <v/>
      </c>
      <c r="P174">
        <f>IF($M174=0,$L174,"")</f>
        <v/>
      </c>
      <c r="R174">
        <f t="array" ref="R174">IFERROR(INDEX($L$2:$L$501,SMALL(IF($M$2:$M$501=1,ROW($M$2:$M$501)-1),ROW()-1)),"")</f>
        <v/>
      </c>
      <c r="S174">
        <f t="array" ref="S174">IFERROR(INDEX($L$2:$L$501,SMALL(IF($M$2:$M$501=0,ROW($M$2:$M$501)-1),ROW()-1)),"")</f>
        <v/>
      </c>
      <c r="U174">
        <f t="array" ref="U174">IFERROR(INDEX($C$2:$C$501,SMALL(IF($D$2:$D$501="France",ROW($D$2:$D$501)-1),ROW()-1)),"")</f>
        <v/>
      </c>
      <c r="V174">
        <f t="array" ref="V174">IFERROR(INDEX($C$2:$C$501,SMALL(IF($D$2:$D$501="Germany",ROW($D$2:$D$501)-1),ROW()-1)),"")</f>
        <v/>
      </c>
      <c r="W174">
        <f t="array" ref="W174">IFERROR(INDEX($C$2:$C$501,SMALL(IF($D$2:$D$501="Spain",ROW($D$2:$D$501)-1),ROW()-1)),"")</f>
        <v/>
      </c>
    </row>
    <row r="175">
      <c r="A175" t="n">
        <v>174</v>
      </c>
      <c r="B175" t="inlineStr">
        <is>
          <t>Moore</t>
        </is>
      </c>
      <c r="C175" t="n">
        <v>643</v>
      </c>
      <c r="D175" t="inlineStr">
        <is>
          <t>Spain</t>
        </is>
      </c>
      <c r="E175" t="inlineStr">
        <is>
          <t>Male</t>
        </is>
      </c>
      <c r="F175" t="n">
        <v>78</v>
      </c>
      <c r="G175" t="n">
        <v>10</v>
      </c>
      <c r="H175" t="n">
        <v>55309.99</v>
      </c>
      <c r="I175" t="n">
        <v>2</v>
      </c>
      <c r="J175" t="n">
        <v>0</v>
      </c>
      <c r="K175" t="n">
        <v>1</v>
      </c>
      <c r="L175" t="n">
        <v>57614.96</v>
      </c>
      <c r="M175" t="n">
        <v>1</v>
      </c>
      <c r="O175">
        <f>IF($M175=1,$L175,"")</f>
        <v/>
      </c>
      <c r="P175">
        <f>IF($M175=0,$L175,"")</f>
        <v/>
      </c>
      <c r="R175">
        <f t="array" ref="R175">IFERROR(INDEX($L$2:$L$501,SMALL(IF($M$2:$M$501=1,ROW($M$2:$M$501)-1),ROW()-1)),"")</f>
        <v/>
      </c>
      <c r="S175">
        <f t="array" ref="S175">IFERROR(INDEX($L$2:$L$501,SMALL(IF($M$2:$M$501=0,ROW($M$2:$M$501)-1),ROW()-1)),"")</f>
        <v/>
      </c>
      <c r="U175">
        <f t="array" ref="U175">IFERROR(INDEX($C$2:$C$501,SMALL(IF($D$2:$D$501="France",ROW($D$2:$D$501)-1),ROW()-1)),"")</f>
        <v/>
      </c>
      <c r="V175">
        <f t="array" ref="V175">IFERROR(INDEX($C$2:$C$501,SMALL(IF($D$2:$D$501="Germany",ROW($D$2:$D$501)-1),ROW()-1)),"")</f>
        <v/>
      </c>
      <c r="W175">
        <f t="array" ref="W175">IFERROR(INDEX($C$2:$C$501,SMALL(IF($D$2:$D$501="Spain",ROW($D$2:$D$501)-1),ROW()-1)),"")</f>
        <v/>
      </c>
    </row>
    <row r="176">
      <c r="A176" t="n">
        <v>175</v>
      </c>
      <c r="B176" t="inlineStr">
        <is>
          <t>Taylor</t>
        </is>
      </c>
      <c r="C176" t="n">
        <v>466</v>
      </c>
      <c r="D176" t="inlineStr">
        <is>
          <t>Germany</t>
        </is>
      </c>
      <c r="E176" t="inlineStr">
        <is>
          <t>Female</t>
        </is>
      </c>
      <c r="F176" t="n">
        <v>55</v>
      </c>
      <c r="G176" t="n">
        <v>7</v>
      </c>
      <c r="H176" t="n">
        <v>109273.56</v>
      </c>
      <c r="I176" t="n">
        <v>3</v>
      </c>
      <c r="J176" t="n">
        <v>1</v>
      </c>
      <c r="K176" t="n">
        <v>0</v>
      </c>
      <c r="L176" t="n">
        <v>114104.65</v>
      </c>
      <c r="M176" t="n">
        <v>1</v>
      </c>
      <c r="O176">
        <f>IF($M176=1,$L176,"")</f>
        <v/>
      </c>
      <c r="P176">
        <f>IF($M176=0,$L176,"")</f>
        <v/>
      </c>
      <c r="R176">
        <f t="array" ref="R176">IFERROR(INDEX($L$2:$L$501,SMALL(IF($M$2:$M$501=1,ROW($M$2:$M$501)-1),ROW()-1)),"")</f>
        <v/>
      </c>
      <c r="S176">
        <f t="array" ref="S176">IFERROR(INDEX($L$2:$L$501,SMALL(IF($M$2:$M$501=0,ROW($M$2:$M$501)-1),ROW()-1)),"")</f>
        <v/>
      </c>
      <c r="U176">
        <f t="array" ref="U176">IFERROR(INDEX($C$2:$C$501,SMALL(IF($D$2:$D$501="France",ROW($D$2:$D$501)-1),ROW()-1)),"")</f>
        <v/>
      </c>
      <c r="V176">
        <f t="array" ref="V176">IFERROR(INDEX($C$2:$C$501,SMALL(IF($D$2:$D$501="Germany",ROW($D$2:$D$501)-1),ROW()-1)),"")</f>
        <v/>
      </c>
      <c r="W176">
        <f t="array" ref="W176">IFERROR(INDEX($C$2:$C$501,SMALL(IF($D$2:$D$501="Spain",ROW($D$2:$D$501)-1),ROW()-1)),"")</f>
        <v/>
      </c>
    </row>
    <row r="177">
      <c r="A177" t="n">
        <v>176</v>
      </c>
      <c r="B177" t="inlineStr">
        <is>
          <t>Williams</t>
        </is>
      </c>
      <c r="C177" t="n">
        <v>843</v>
      </c>
      <c r="D177" t="inlineStr">
        <is>
          <t>France</t>
        </is>
      </c>
      <c r="E177" t="inlineStr">
        <is>
          <t>Male</t>
        </is>
      </c>
      <c r="F177" t="n">
        <v>34</v>
      </c>
      <c r="G177" t="n">
        <v>6</v>
      </c>
      <c r="H177" t="n">
        <v>104696.85</v>
      </c>
      <c r="I177" t="n">
        <v>2</v>
      </c>
      <c r="J177" t="n">
        <v>0</v>
      </c>
      <c r="K177" t="n">
        <v>0</v>
      </c>
      <c r="L177" t="n">
        <v>106102.67</v>
      </c>
      <c r="M177" t="n">
        <v>1</v>
      </c>
      <c r="O177">
        <f>IF($M177=1,$L177,"")</f>
        <v/>
      </c>
      <c r="P177">
        <f>IF($M177=0,$L177,"")</f>
        <v/>
      </c>
      <c r="R177">
        <f t="array" ref="R177">IFERROR(INDEX($L$2:$L$501,SMALL(IF($M$2:$M$501=1,ROW($M$2:$M$501)-1),ROW()-1)),"")</f>
        <v/>
      </c>
      <c r="S177">
        <f t="array" ref="S177">IFERROR(INDEX($L$2:$L$501,SMALL(IF($M$2:$M$501=0,ROW($M$2:$M$501)-1),ROW()-1)),"")</f>
        <v/>
      </c>
      <c r="U177">
        <f t="array" ref="U177">IFERROR(INDEX($C$2:$C$501,SMALL(IF($D$2:$D$501="France",ROW($D$2:$D$501)-1),ROW()-1)),"")</f>
        <v/>
      </c>
      <c r="V177">
        <f t="array" ref="V177">IFERROR(INDEX($C$2:$C$501,SMALL(IF($D$2:$D$501="Germany",ROW($D$2:$D$501)-1),ROW()-1)),"")</f>
        <v/>
      </c>
      <c r="W177">
        <f t="array" ref="W177">IFERROR(INDEX($C$2:$C$501,SMALL(IF($D$2:$D$501="Spain",ROW($D$2:$D$501)-1),ROW()-1)),"")</f>
        <v/>
      </c>
    </row>
    <row r="178">
      <c r="A178" t="n">
        <v>177</v>
      </c>
      <c r="B178" t="inlineStr">
        <is>
          <t>Moore</t>
        </is>
      </c>
      <c r="C178" t="n">
        <v>398</v>
      </c>
      <c r="D178" t="inlineStr">
        <is>
          <t>France</t>
        </is>
      </c>
      <c r="E178" t="inlineStr">
        <is>
          <t>Female</t>
        </is>
      </c>
      <c r="F178" t="n">
        <v>63</v>
      </c>
      <c r="G178" t="n">
        <v>2</v>
      </c>
      <c r="H178" t="n">
        <v>146639.1</v>
      </c>
      <c r="I178" t="n">
        <v>1</v>
      </c>
      <c r="J178" t="n">
        <v>1</v>
      </c>
      <c r="K178" t="n">
        <v>0</v>
      </c>
      <c r="L178" t="n">
        <v>114757.22</v>
      </c>
      <c r="M178" t="n">
        <v>1</v>
      </c>
      <c r="O178">
        <f>IF($M178=1,$L178,"")</f>
        <v/>
      </c>
      <c r="P178">
        <f>IF($M178=0,$L178,"")</f>
        <v/>
      </c>
      <c r="R178">
        <f t="array" ref="R178">IFERROR(INDEX($L$2:$L$501,SMALL(IF($M$2:$M$501=1,ROW($M$2:$M$501)-1),ROW()-1)),"")</f>
        <v/>
      </c>
      <c r="S178">
        <f t="array" ref="S178">IFERROR(INDEX($L$2:$L$501,SMALL(IF($M$2:$M$501=0,ROW($M$2:$M$501)-1),ROW()-1)),"")</f>
        <v/>
      </c>
      <c r="U178">
        <f t="array" ref="U178">IFERROR(INDEX($C$2:$C$501,SMALL(IF($D$2:$D$501="France",ROW($D$2:$D$501)-1),ROW()-1)),"")</f>
        <v/>
      </c>
      <c r="V178">
        <f t="array" ref="V178">IFERROR(INDEX($C$2:$C$501,SMALL(IF($D$2:$D$501="Germany",ROW($D$2:$D$501)-1),ROW()-1)),"")</f>
        <v/>
      </c>
      <c r="W178">
        <f t="array" ref="W178">IFERROR(INDEX($C$2:$C$501,SMALL(IF($D$2:$D$501="Spain",ROW($D$2:$D$501)-1),ROW()-1)),"")</f>
        <v/>
      </c>
    </row>
    <row r="179">
      <c r="A179" t="n">
        <v>178</v>
      </c>
      <c r="B179" t="inlineStr">
        <is>
          <t>Miller</t>
        </is>
      </c>
      <c r="C179" t="n">
        <v>459</v>
      </c>
      <c r="D179" t="inlineStr">
        <is>
          <t>Spain</t>
        </is>
      </c>
      <c r="E179" t="inlineStr">
        <is>
          <t>Male</t>
        </is>
      </c>
      <c r="F179" t="n">
        <v>57</v>
      </c>
      <c r="G179" t="n">
        <v>10</v>
      </c>
      <c r="H179" t="n">
        <v>170945.73</v>
      </c>
      <c r="I179" t="n">
        <v>3</v>
      </c>
      <c r="J179" t="n">
        <v>0</v>
      </c>
      <c r="K179" t="n">
        <v>0</v>
      </c>
      <c r="L179" t="n">
        <v>77687.86</v>
      </c>
      <c r="M179" t="n">
        <v>0</v>
      </c>
      <c r="O179">
        <f>IF($M179=1,$L179,"")</f>
        <v/>
      </c>
      <c r="P179">
        <f>IF($M179=0,$L179,"")</f>
        <v/>
      </c>
      <c r="R179">
        <f t="array" ref="R179">IFERROR(INDEX($L$2:$L$501,SMALL(IF($M$2:$M$501=1,ROW($M$2:$M$501)-1),ROW()-1)),"")</f>
        <v/>
      </c>
      <c r="S179">
        <f t="array" ref="S179">IFERROR(INDEX($L$2:$L$501,SMALL(IF($M$2:$M$501=0,ROW($M$2:$M$501)-1),ROW()-1)),"")</f>
        <v/>
      </c>
      <c r="U179">
        <f t="array" ref="U179">IFERROR(INDEX($C$2:$C$501,SMALL(IF($D$2:$D$501="France",ROW($D$2:$D$501)-1),ROW()-1)),"")</f>
        <v/>
      </c>
      <c r="V179">
        <f t="array" ref="V179">IFERROR(INDEX($C$2:$C$501,SMALL(IF($D$2:$D$501="Germany",ROW($D$2:$D$501)-1),ROW()-1)),"")</f>
        <v/>
      </c>
      <c r="W179">
        <f t="array" ref="W179">IFERROR(INDEX($C$2:$C$501,SMALL(IF($D$2:$D$501="Spain",ROW($D$2:$D$501)-1),ROW()-1)),"")</f>
        <v/>
      </c>
    </row>
    <row r="180">
      <c r="A180" t="n">
        <v>179</v>
      </c>
      <c r="B180" t="inlineStr">
        <is>
          <t>Miller</t>
        </is>
      </c>
      <c r="C180" t="n">
        <v>816</v>
      </c>
      <c r="D180" t="inlineStr">
        <is>
          <t>Germany</t>
        </is>
      </c>
      <c r="E180" t="inlineStr">
        <is>
          <t>Female</t>
        </is>
      </c>
      <c r="F180" t="n">
        <v>51</v>
      </c>
      <c r="G180" t="n">
        <v>9</v>
      </c>
      <c r="H180" t="n">
        <v>55692.78</v>
      </c>
      <c r="I180" t="n">
        <v>2</v>
      </c>
      <c r="J180" t="n">
        <v>0</v>
      </c>
      <c r="K180" t="n">
        <v>0</v>
      </c>
      <c r="L180" t="n">
        <v>138662.49</v>
      </c>
      <c r="M180" t="n">
        <v>1</v>
      </c>
      <c r="O180">
        <f>IF($M180=1,$L180,"")</f>
        <v/>
      </c>
      <c r="P180">
        <f>IF($M180=0,$L180,"")</f>
        <v/>
      </c>
      <c r="R180">
        <f t="array" ref="R180">IFERROR(INDEX($L$2:$L$501,SMALL(IF($M$2:$M$501=1,ROW($M$2:$M$501)-1),ROW()-1)),"")</f>
        <v/>
      </c>
      <c r="S180">
        <f t="array" ref="S180">IFERROR(INDEX($L$2:$L$501,SMALL(IF($M$2:$M$501=0,ROW($M$2:$M$501)-1),ROW()-1)),"")</f>
        <v/>
      </c>
      <c r="U180">
        <f t="array" ref="U180">IFERROR(INDEX($C$2:$C$501,SMALL(IF($D$2:$D$501="France",ROW($D$2:$D$501)-1),ROW()-1)),"")</f>
        <v/>
      </c>
      <c r="V180">
        <f t="array" ref="V180">IFERROR(INDEX($C$2:$C$501,SMALL(IF($D$2:$D$501="Germany",ROW($D$2:$D$501)-1),ROW()-1)),"")</f>
        <v/>
      </c>
      <c r="W180">
        <f t="array" ref="W180">IFERROR(INDEX($C$2:$C$501,SMALL(IF($D$2:$D$501="Spain",ROW($D$2:$D$501)-1),ROW()-1)),"")</f>
        <v/>
      </c>
    </row>
    <row r="181">
      <c r="A181" t="n">
        <v>180</v>
      </c>
      <c r="B181" t="inlineStr">
        <is>
          <t>Taylor</t>
        </is>
      </c>
      <c r="C181" t="n">
        <v>529</v>
      </c>
      <c r="D181" t="inlineStr">
        <is>
          <t>Germany</t>
        </is>
      </c>
      <c r="E181" t="inlineStr">
        <is>
          <t>Male</t>
        </is>
      </c>
      <c r="F181" t="n">
        <v>83</v>
      </c>
      <c r="G181" t="n">
        <v>10</v>
      </c>
      <c r="H181" t="n">
        <v>140464.4</v>
      </c>
      <c r="I181" t="n">
        <v>2</v>
      </c>
      <c r="J181" t="n">
        <v>1</v>
      </c>
      <c r="K181" t="n">
        <v>0</v>
      </c>
      <c r="L181" t="n">
        <v>62160.12</v>
      </c>
      <c r="M181" t="n">
        <v>1</v>
      </c>
      <c r="O181">
        <f>IF($M181=1,$L181,"")</f>
        <v/>
      </c>
      <c r="P181">
        <f>IF($M181=0,$L181,"")</f>
        <v/>
      </c>
      <c r="R181">
        <f t="array" ref="R181">IFERROR(INDEX($L$2:$L$501,SMALL(IF($M$2:$M$501=1,ROW($M$2:$M$501)-1),ROW()-1)),"")</f>
        <v/>
      </c>
      <c r="S181">
        <f t="array" ref="S181">IFERROR(INDEX($L$2:$L$501,SMALL(IF($M$2:$M$501=0,ROW($M$2:$M$501)-1),ROW()-1)),"")</f>
        <v/>
      </c>
      <c r="U181">
        <f t="array" ref="U181">IFERROR(INDEX($C$2:$C$501,SMALL(IF($D$2:$D$501="France",ROW($D$2:$D$501)-1),ROW()-1)),"")</f>
        <v/>
      </c>
      <c r="V181">
        <f t="array" ref="V181">IFERROR(INDEX($C$2:$C$501,SMALL(IF($D$2:$D$501="Germany",ROW($D$2:$D$501)-1),ROW()-1)),"")</f>
        <v/>
      </c>
      <c r="W181">
        <f t="array" ref="W181">IFERROR(INDEX($C$2:$C$501,SMALL(IF($D$2:$D$501="Spain",ROW($D$2:$D$501)-1),ROW()-1)),"")</f>
        <v/>
      </c>
    </row>
    <row r="182">
      <c r="A182" t="n">
        <v>181</v>
      </c>
      <c r="B182" t="inlineStr">
        <is>
          <t>Johnson</t>
        </is>
      </c>
      <c r="C182" t="n">
        <v>399</v>
      </c>
      <c r="D182" t="inlineStr">
        <is>
          <t>Germany</t>
        </is>
      </c>
      <c r="E182" t="inlineStr">
        <is>
          <t>Male</t>
        </is>
      </c>
      <c r="F182" t="n">
        <v>91</v>
      </c>
      <c r="G182" t="n">
        <v>8</v>
      </c>
      <c r="H182" t="n">
        <v>230097.2</v>
      </c>
      <c r="I182" t="n">
        <v>4</v>
      </c>
      <c r="J182" t="n">
        <v>0</v>
      </c>
      <c r="K182" t="n">
        <v>0</v>
      </c>
      <c r="L182" t="n">
        <v>144755.61</v>
      </c>
      <c r="M182" t="n">
        <v>0</v>
      </c>
      <c r="O182">
        <f>IF($M182=1,$L182,"")</f>
        <v/>
      </c>
      <c r="P182">
        <f>IF($M182=0,$L182,"")</f>
        <v/>
      </c>
      <c r="R182">
        <f t="array" ref="R182">IFERROR(INDEX($L$2:$L$501,SMALL(IF($M$2:$M$501=1,ROW($M$2:$M$501)-1),ROW()-1)),"")</f>
        <v/>
      </c>
      <c r="S182">
        <f t="array" ref="S182">IFERROR(INDEX($L$2:$L$501,SMALL(IF($M$2:$M$501=0,ROW($M$2:$M$501)-1),ROW()-1)),"")</f>
        <v/>
      </c>
      <c r="U182">
        <f t="array" ref="U182">IFERROR(INDEX($C$2:$C$501,SMALL(IF($D$2:$D$501="France",ROW($D$2:$D$501)-1),ROW()-1)),"")</f>
        <v/>
      </c>
      <c r="V182">
        <f t="array" ref="V182">IFERROR(INDEX($C$2:$C$501,SMALL(IF($D$2:$D$501="Germany",ROW($D$2:$D$501)-1),ROW()-1)),"")</f>
        <v/>
      </c>
      <c r="W182">
        <f t="array" ref="W182">IFERROR(INDEX($C$2:$C$501,SMALL(IF($D$2:$D$501="Spain",ROW($D$2:$D$501)-1),ROW()-1)),"")</f>
        <v/>
      </c>
    </row>
    <row r="183">
      <c r="A183" t="n">
        <v>182</v>
      </c>
      <c r="B183" t="inlineStr">
        <is>
          <t>Miller</t>
        </is>
      </c>
      <c r="C183" t="n">
        <v>421</v>
      </c>
      <c r="D183" t="inlineStr">
        <is>
          <t>France</t>
        </is>
      </c>
      <c r="E183" t="inlineStr">
        <is>
          <t>Female</t>
        </is>
      </c>
      <c r="F183" t="n">
        <v>86</v>
      </c>
      <c r="G183" t="n">
        <v>8</v>
      </c>
      <c r="H183" t="n">
        <v>58586.77</v>
      </c>
      <c r="I183" t="n">
        <v>4</v>
      </c>
      <c r="J183" t="n">
        <v>0</v>
      </c>
      <c r="K183" t="n">
        <v>0</v>
      </c>
      <c r="L183" t="n">
        <v>27139.72</v>
      </c>
      <c r="M183" t="n">
        <v>1</v>
      </c>
      <c r="O183">
        <f>IF($M183=1,$L183,"")</f>
        <v/>
      </c>
      <c r="P183">
        <f>IF($M183=0,$L183,"")</f>
        <v/>
      </c>
      <c r="R183">
        <f t="array" ref="R183">IFERROR(INDEX($L$2:$L$501,SMALL(IF($M$2:$M$501=1,ROW($M$2:$M$501)-1),ROW()-1)),"")</f>
        <v/>
      </c>
      <c r="S183">
        <f t="array" ref="S183">IFERROR(INDEX($L$2:$L$501,SMALL(IF($M$2:$M$501=0,ROW($M$2:$M$501)-1),ROW()-1)),"")</f>
        <v/>
      </c>
      <c r="U183">
        <f t="array" ref="U183">IFERROR(INDEX($C$2:$C$501,SMALL(IF($D$2:$D$501="France",ROW($D$2:$D$501)-1),ROW()-1)),"")</f>
        <v/>
      </c>
      <c r="V183">
        <f t="array" ref="V183">IFERROR(INDEX($C$2:$C$501,SMALL(IF($D$2:$D$501="Germany",ROW($D$2:$D$501)-1),ROW()-1)),"")</f>
        <v/>
      </c>
      <c r="W183">
        <f t="array" ref="W183">IFERROR(INDEX($C$2:$C$501,SMALL(IF($D$2:$D$501="Spain",ROW($D$2:$D$501)-1),ROW()-1)),"")</f>
        <v/>
      </c>
    </row>
    <row r="184">
      <c r="A184" t="n">
        <v>183</v>
      </c>
      <c r="B184" t="inlineStr">
        <is>
          <t>Moore</t>
        </is>
      </c>
      <c r="C184" t="n">
        <v>696</v>
      </c>
      <c r="D184" t="inlineStr">
        <is>
          <t>France</t>
        </is>
      </c>
      <c r="E184" t="inlineStr">
        <is>
          <t>Female</t>
        </is>
      </c>
      <c r="F184" t="n">
        <v>42</v>
      </c>
      <c r="G184" t="n">
        <v>2</v>
      </c>
      <c r="H184" t="n">
        <v>27700.99</v>
      </c>
      <c r="I184" t="n">
        <v>2</v>
      </c>
      <c r="J184" t="n">
        <v>0</v>
      </c>
      <c r="K184" t="n">
        <v>0</v>
      </c>
      <c r="L184" t="n">
        <v>140547.93</v>
      </c>
      <c r="M184" t="n">
        <v>0</v>
      </c>
      <c r="O184">
        <f>IF($M184=1,$L184,"")</f>
        <v/>
      </c>
      <c r="P184">
        <f>IF($M184=0,$L184,"")</f>
        <v/>
      </c>
      <c r="R184">
        <f t="array" ref="R184">IFERROR(INDEX($L$2:$L$501,SMALL(IF($M$2:$M$501=1,ROW($M$2:$M$501)-1),ROW()-1)),"")</f>
        <v/>
      </c>
      <c r="S184">
        <f t="array" ref="S184">IFERROR(INDEX($L$2:$L$501,SMALL(IF($M$2:$M$501=0,ROW($M$2:$M$501)-1),ROW()-1)),"")</f>
        <v/>
      </c>
      <c r="U184">
        <f t="array" ref="U184">IFERROR(INDEX($C$2:$C$501,SMALL(IF($D$2:$D$501="France",ROW($D$2:$D$501)-1),ROW()-1)),"")</f>
        <v/>
      </c>
      <c r="V184">
        <f t="array" ref="V184">IFERROR(INDEX($C$2:$C$501,SMALL(IF($D$2:$D$501="Germany",ROW($D$2:$D$501)-1),ROW()-1)),"")</f>
        <v/>
      </c>
      <c r="W184">
        <f t="array" ref="W184">IFERROR(INDEX($C$2:$C$501,SMALL(IF($D$2:$D$501="Spain",ROW($D$2:$D$501)-1),ROW()-1)),"")</f>
        <v/>
      </c>
    </row>
    <row r="185">
      <c r="A185" t="n">
        <v>184</v>
      </c>
      <c r="B185" t="inlineStr">
        <is>
          <t>Moore</t>
        </is>
      </c>
      <c r="C185" t="n">
        <v>783</v>
      </c>
      <c r="D185" t="inlineStr">
        <is>
          <t>Spain</t>
        </is>
      </c>
      <c r="E185" t="inlineStr">
        <is>
          <t>Female</t>
        </is>
      </c>
      <c r="F185" t="n">
        <v>24</v>
      </c>
      <c r="G185" t="n">
        <v>1</v>
      </c>
      <c r="H185" t="n">
        <v>69808.10000000001</v>
      </c>
      <c r="I185" t="n">
        <v>3</v>
      </c>
      <c r="J185" t="n">
        <v>1</v>
      </c>
      <c r="K185" t="n">
        <v>0</v>
      </c>
      <c r="L185" t="n">
        <v>116721.45</v>
      </c>
      <c r="M185" t="n">
        <v>0</v>
      </c>
      <c r="O185">
        <f>IF($M185=1,$L185,"")</f>
        <v/>
      </c>
      <c r="P185">
        <f>IF($M185=0,$L185,"")</f>
        <v/>
      </c>
      <c r="R185">
        <f t="array" ref="R185">IFERROR(INDEX($L$2:$L$501,SMALL(IF($M$2:$M$501=1,ROW($M$2:$M$501)-1),ROW()-1)),"")</f>
        <v/>
      </c>
      <c r="S185">
        <f t="array" ref="S185">IFERROR(INDEX($L$2:$L$501,SMALL(IF($M$2:$M$501=0,ROW($M$2:$M$501)-1),ROW()-1)),"")</f>
        <v/>
      </c>
      <c r="U185">
        <f t="array" ref="U185">IFERROR(INDEX($C$2:$C$501,SMALL(IF($D$2:$D$501="France",ROW($D$2:$D$501)-1),ROW()-1)),"")</f>
        <v/>
      </c>
      <c r="V185">
        <f t="array" ref="V185">IFERROR(INDEX($C$2:$C$501,SMALL(IF($D$2:$D$501="Germany",ROW($D$2:$D$501)-1),ROW()-1)),"")</f>
        <v/>
      </c>
      <c r="W185">
        <f t="array" ref="W185">IFERROR(INDEX($C$2:$C$501,SMALL(IF($D$2:$D$501="Spain",ROW($D$2:$D$501)-1),ROW()-1)),"")</f>
        <v/>
      </c>
    </row>
    <row r="186">
      <c r="A186" t="n">
        <v>185</v>
      </c>
      <c r="B186" t="inlineStr">
        <is>
          <t>Jones</t>
        </is>
      </c>
      <c r="C186" t="n">
        <v>844</v>
      </c>
      <c r="D186" t="inlineStr">
        <is>
          <t>France</t>
        </is>
      </c>
      <c r="E186" t="inlineStr">
        <is>
          <t>Female</t>
        </is>
      </c>
      <c r="F186" t="n">
        <v>78</v>
      </c>
      <c r="G186" t="n">
        <v>10</v>
      </c>
      <c r="H186" t="n">
        <v>138185.18</v>
      </c>
      <c r="I186" t="n">
        <v>1</v>
      </c>
      <c r="J186" t="n">
        <v>0</v>
      </c>
      <c r="K186" t="n">
        <v>0</v>
      </c>
      <c r="L186" t="n">
        <v>143728.42</v>
      </c>
      <c r="M186" t="n">
        <v>0</v>
      </c>
      <c r="O186">
        <f>IF($M186=1,$L186,"")</f>
        <v/>
      </c>
      <c r="P186">
        <f>IF($M186=0,$L186,"")</f>
        <v/>
      </c>
      <c r="R186">
        <f t="array" ref="R186">IFERROR(INDEX($L$2:$L$501,SMALL(IF($M$2:$M$501=1,ROW($M$2:$M$501)-1),ROW()-1)),"")</f>
        <v/>
      </c>
      <c r="S186">
        <f t="array" ref="S186">IFERROR(INDEX($L$2:$L$501,SMALL(IF($M$2:$M$501=0,ROW($M$2:$M$501)-1),ROW()-1)),"")</f>
        <v/>
      </c>
      <c r="U186">
        <f t="array" ref="U186">IFERROR(INDEX($C$2:$C$501,SMALL(IF($D$2:$D$501="France",ROW($D$2:$D$501)-1),ROW()-1)),"")</f>
        <v/>
      </c>
      <c r="V186">
        <f t="array" ref="V186">IFERROR(INDEX($C$2:$C$501,SMALL(IF($D$2:$D$501="Germany",ROW($D$2:$D$501)-1),ROW()-1)),"")</f>
        <v/>
      </c>
      <c r="W186">
        <f t="array" ref="W186">IFERROR(INDEX($C$2:$C$501,SMALL(IF($D$2:$D$501="Spain",ROW($D$2:$D$501)-1),ROW()-1)),"")</f>
        <v/>
      </c>
    </row>
    <row r="187">
      <c r="A187" t="n">
        <v>186</v>
      </c>
      <c r="B187" t="inlineStr">
        <is>
          <t>Williams</t>
        </is>
      </c>
      <c r="C187" t="n">
        <v>635</v>
      </c>
      <c r="D187" t="inlineStr">
        <is>
          <t>Spain</t>
        </is>
      </c>
      <c r="E187" t="inlineStr">
        <is>
          <t>Male</t>
        </is>
      </c>
      <c r="F187" t="n">
        <v>79</v>
      </c>
      <c r="G187" t="n">
        <v>2</v>
      </c>
      <c r="H187" t="n">
        <v>113120.37</v>
      </c>
      <c r="I187" t="n">
        <v>3</v>
      </c>
      <c r="J187" t="n">
        <v>1</v>
      </c>
      <c r="K187" t="n">
        <v>0</v>
      </c>
      <c r="L187" t="n">
        <v>87508.69</v>
      </c>
      <c r="M187" t="n">
        <v>0</v>
      </c>
      <c r="O187">
        <f>IF($M187=1,$L187,"")</f>
        <v/>
      </c>
      <c r="P187">
        <f>IF($M187=0,$L187,"")</f>
        <v/>
      </c>
      <c r="R187">
        <f t="array" ref="R187">IFERROR(INDEX($L$2:$L$501,SMALL(IF($M$2:$M$501=1,ROW($M$2:$M$501)-1),ROW()-1)),"")</f>
        <v/>
      </c>
      <c r="S187">
        <f t="array" ref="S187">IFERROR(INDEX($L$2:$L$501,SMALL(IF($M$2:$M$501=0,ROW($M$2:$M$501)-1),ROW()-1)),"")</f>
        <v/>
      </c>
      <c r="U187">
        <f t="array" ref="U187">IFERROR(INDEX($C$2:$C$501,SMALL(IF($D$2:$D$501="France",ROW($D$2:$D$501)-1),ROW()-1)),"")</f>
        <v/>
      </c>
      <c r="V187">
        <f t="array" ref="V187">IFERROR(INDEX($C$2:$C$501,SMALL(IF($D$2:$D$501="Germany",ROW($D$2:$D$501)-1),ROW()-1)),"")</f>
        <v/>
      </c>
      <c r="W187">
        <f t="array" ref="W187">IFERROR(INDEX($C$2:$C$501,SMALL(IF($D$2:$D$501="Spain",ROW($D$2:$D$501)-1),ROW()-1)),"")</f>
        <v/>
      </c>
    </row>
    <row r="188">
      <c r="A188" t="n">
        <v>187</v>
      </c>
      <c r="B188" t="inlineStr">
        <is>
          <t>Jones</t>
        </is>
      </c>
      <c r="C188" t="n">
        <v>353</v>
      </c>
      <c r="D188" t="inlineStr">
        <is>
          <t>Spain</t>
        </is>
      </c>
      <c r="E188" t="inlineStr">
        <is>
          <t>Male</t>
        </is>
      </c>
      <c r="F188" t="n">
        <v>77</v>
      </c>
      <c r="G188" t="n">
        <v>7</v>
      </c>
      <c r="H188" t="n">
        <v>110096.43</v>
      </c>
      <c r="I188" t="n">
        <v>4</v>
      </c>
      <c r="J188" t="n">
        <v>1</v>
      </c>
      <c r="K188" t="n">
        <v>0</v>
      </c>
      <c r="L188" t="n">
        <v>141135.62</v>
      </c>
      <c r="M188" t="n">
        <v>1</v>
      </c>
      <c r="O188">
        <f>IF($M188=1,$L188,"")</f>
        <v/>
      </c>
      <c r="P188">
        <f>IF($M188=0,$L188,"")</f>
        <v/>
      </c>
      <c r="R188">
        <f t="array" ref="R188">IFERROR(INDEX($L$2:$L$501,SMALL(IF($M$2:$M$501=1,ROW($M$2:$M$501)-1),ROW()-1)),"")</f>
        <v/>
      </c>
      <c r="S188">
        <f t="array" ref="S188">IFERROR(INDEX($L$2:$L$501,SMALL(IF($M$2:$M$501=0,ROW($M$2:$M$501)-1),ROW()-1)),"")</f>
        <v/>
      </c>
      <c r="U188">
        <f t="array" ref="U188">IFERROR(INDEX($C$2:$C$501,SMALL(IF($D$2:$D$501="France",ROW($D$2:$D$501)-1),ROW()-1)),"")</f>
        <v/>
      </c>
      <c r="V188">
        <f t="array" ref="V188">IFERROR(INDEX($C$2:$C$501,SMALL(IF($D$2:$D$501="Germany",ROW($D$2:$D$501)-1),ROW()-1)),"")</f>
        <v/>
      </c>
      <c r="W188">
        <f t="array" ref="W188">IFERROR(INDEX($C$2:$C$501,SMALL(IF($D$2:$D$501="Spain",ROW($D$2:$D$501)-1),ROW()-1)),"")</f>
        <v/>
      </c>
    </row>
    <row r="189">
      <c r="A189" t="n">
        <v>188</v>
      </c>
      <c r="B189" t="inlineStr">
        <is>
          <t>Miller</t>
        </is>
      </c>
      <c r="C189" t="n">
        <v>424</v>
      </c>
      <c r="D189" t="inlineStr">
        <is>
          <t>Germany</t>
        </is>
      </c>
      <c r="E189" t="inlineStr">
        <is>
          <t>Male</t>
        </is>
      </c>
      <c r="F189" t="n">
        <v>47</v>
      </c>
      <c r="G189" t="n">
        <v>6</v>
      </c>
      <c r="H189" t="n">
        <v>163549.64</v>
      </c>
      <c r="I189" t="n">
        <v>1</v>
      </c>
      <c r="J189" t="n">
        <v>1</v>
      </c>
      <c r="K189" t="n">
        <v>0</v>
      </c>
      <c r="L189" t="n">
        <v>33745.43</v>
      </c>
      <c r="M189" t="n">
        <v>1</v>
      </c>
      <c r="O189">
        <f>IF($M189=1,$L189,"")</f>
        <v/>
      </c>
      <c r="P189">
        <f>IF($M189=0,$L189,"")</f>
        <v/>
      </c>
      <c r="R189">
        <f t="array" ref="R189">IFERROR(INDEX($L$2:$L$501,SMALL(IF($M$2:$M$501=1,ROW($M$2:$M$501)-1),ROW()-1)),"")</f>
        <v/>
      </c>
      <c r="S189">
        <f t="array" ref="S189">IFERROR(INDEX($L$2:$L$501,SMALL(IF($M$2:$M$501=0,ROW($M$2:$M$501)-1),ROW()-1)),"")</f>
        <v/>
      </c>
      <c r="U189">
        <f t="array" ref="U189">IFERROR(INDEX($C$2:$C$501,SMALL(IF($D$2:$D$501="France",ROW($D$2:$D$501)-1),ROW()-1)),"")</f>
        <v/>
      </c>
      <c r="V189">
        <f t="array" ref="V189">IFERROR(INDEX($C$2:$C$501,SMALL(IF($D$2:$D$501="Germany",ROW($D$2:$D$501)-1),ROW()-1)),"")</f>
        <v/>
      </c>
      <c r="W189">
        <f t="array" ref="W189">IFERROR(INDEX($C$2:$C$501,SMALL(IF($D$2:$D$501="Spain",ROW($D$2:$D$501)-1),ROW()-1)),"")</f>
        <v/>
      </c>
    </row>
    <row r="190">
      <c r="A190" t="n">
        <v>189</v>
      </c>
      <c r="B190" t="inlineStr">
        <is>
          <t>Jones</t>
        </is>
      </c>
      <c r="C190" t="n">
        <v>434</v>
      </c>
      <c r="D190" t="inlineStr">
        <is>
          <t>Spain</t>
        </is>
      </c>
      <c r="E190" t="inlineStr">
        <is>
          <t>Male</t>
        </is>
      </c>
      <c r="F190" t="n">
        <v>46</v>
      </c>
      <c r="G190" t="n">
        <v>6</v>
      </c>
      <c r="H190" t="n">
        <v>229121.35</v>
      </c>
      <c r="I190" t="n">
        <v>2</v>
      </c>
      <c r="J190" t="n">
        <v>1</v>
      </c>
      <c r="K190" t="n">
        <v>0</v>
      </c>
      <c r="L190" t="n">
        <v>14185.62</v>
      </c>
      <c r="M190" t="n">
        <v>0</v>
      </c>
      <c r="O190">
        <f>IF($M190=1,$L190,"")</f>
        <v/>
      </c>
      <c r="P190">
        <f>IF($M190=0,$L190,"")</f>
        <v/>
      </c>
      <c r="R190">
        <f t="array" ref="R190">IFERROR(INDEX($L$2:$L$501,SMALL(IF($M$2:$M$501=1,ROW($M$2:$M$501)-1),ROW()-1)),"")</f>
        <v/>
      </c>
      <c r="S190">
        <f t="array" ref="S190">IFERROR(INDEX($L$2:$L$501,SMALL(IF($M$2:$M$501=0,ROW($M$2:$M$501)-1),ROW()-1)),"")</f>
        <v/>
      </c>
      <c r="U190">
        <f t="array" ref="U190">IFERROR(INDEX($C$2:$C$501,SMALL(IF($D$2:$D$501="France",ROW($D$2:$D$501)-1),ROW()-1)),"")</f>
        <v/>
      </c>
      <c r="V190">
        <f t="array" ref="V190">IFERROR(INDEX($C$2:$C$501,SMALL(IF($D$2:$D$501="Germany",ROW($D$2:$D$501)-1),ROW()-1)),"")</f>
        <v/>
      </c>
      <c r="W190">
        <f t="array" ref="W190">IFERROR(INDEX($C$2:$C$501,SMALL(IF($D$2:$D$501="Spain",ROW($D$2:$D$501)-1),ROW()-1)),"")</f>
        <v/>
      </c>
    </row>
    <row r="191">
      <c r="A191" t="n">
        <v>190</v>
      </c>
      <c r="B191" t="inlineStr">
        <is>
          <t>Miller</t>
        </is>
      </c>
      <c r="C191" t="n">
        <v>840</v>
      </c>
      <c r="D191" t="inlineStr">
        <is>
          <t>Germany</t>
        </is>
      </c>
      <c r="E191" t="inlineStr">
        <is>
          <t>Male</t>
        </is>
      </c>
      <c r="F191" t="n">
        <v>42</v>
      </c>
      <c r="G191" t="n">
        <v>2</v>
      </c>
      <c r="H191" t="n">
        <v>46465.66</v>
      </c>
      <c r="I191" t="n">
        <v>3</v>
      </c>
      <c r="J191" t="n">
        <v>1</v>
      </c>
      <c r="K191" t="n">
        <v>1</v>
      </c>
      <c r="L191" t="n">
        <v>108093.18</v>
      </c>
      <c r="M191" t="n">
        <v>1</v>
      </c>
      <c r="O191">
        <f>IF($M191=1,$L191,"")</f>
        <v/>
      </c>
      <c r="P191">
        <f>IF($M191=0,$L191,"")</f>
        <v/>
      </c>
      <c r="R191">
        <f t="array" ref="R191">IFERROR(INDEX($L$2:$L$501,SMALL(IF($M$2:$M$501=1,ROW($M$2:$M$501)-1),ROW()-1)),"")</f>
        <v/>
      </c>
      <c r="S191">
        <f t="array" ref="S191">IFERROR(INDEX($L$2:$L$501,SMALL(IF($M$2:$M$501=0,ROW($M$2:$M$501)-1),ROW()-1)),"")</f>
        <v/>
      </c>
      <c r="U191">
        <f t="array" ref="U191">IFERROR(INDEX($C$2:$C$501,SMALL(IF($D$2:$D$501="France",ROW($D$2:$D$501)-1),ROW()-1)),"")</f>
        <v/>
      </c>
      <c r="V191">
        <f t="array" ref="V191">IFERROR(INDEX($C$2:$C$501,SMALL(IF($D$2:$D$501="Germany",ROW($D$2:$D$501)-1),ROW()-1)),"")</f>
        <v/>
      </c>
      <c r="W191">
        <f t="array" ref="W191">IFERROR(INDEX($C$2:$C$501,SMALL(IF($D$2:$D$501="Spain",ROW($D$2:$D$501)-1),ROW()-1)),"")</f>
        <v/>
      </c>
    </row>
    <row r="192">
      <c r="A192" t="n">
        <v>191</v>
      </c>
      <c r="B192" t="inlineStr">
        <is>
          <t>Davis</t>
        </is>
      </c>
      <c r="C192" t="n">
        <v>671</v>
      </c>
      <c r="D192" t="inlineStr">
        <is>
          <t>Germany</t>
        </is>
      </c>
      <c r="E192" t="inlineStr">
        <is>
          <t>Male</t>
        </is>
      </c>
      <c r="F192" t="n">
        <v>21</v>
      </c>
      <c r="G192" t="n">
        <v>1</v>
      </c>
      <c r="H192" t="n">
        <v>87143.41</v>
      </c>
      <c r="I192" t="n">
        <v>2</v>
      </c>
      <c r="J192" t="n">
        <v>0</v>
      </c>
      <c r="K192" t="n">
        <v>0</v>
      </c>
      <c r="L192" t="n">
        <v>130888.76</v>
      </c>
      <c r="M192" t="n">
        <v>1</v>
      </c>
      <c r="O192">
        <f>IF($M192=1,$L192,"")</f>
        <v/>
      </c>
      <c r="P192">
        <f>IF($M192=0,$L192,"")</f>
        <v/>
      </c>
      <c r="R192">
        <f t="array" ref="R192">IFERROR(INDEX($L$2:$L$501,SMALL(IF($M$2:$M$501=1,ROW($M$2:$M$501)-1),ROW()-1)),"")</f>
        <v/>
      </c>
      <c r="S192">
        <f t="array" ref="S192">IFERROR(INDEX($L$2:$L$501,SMALL(IF($M$2:$M$501=0,ROW($M$2:$M$501)-1),ROW()-1)),"")</f>
        <v/>
      </c>
      <c r="U192">
        <f t="array" ref="U192">IFERROR(INDEX($C$2:$C$501,SMALL(IF($D$2:$D$501="France",ROW($D$2:$D$501)-1),ROW()-1)),"")</f>
        <v/>
      </c>
      <c r="V192">
        <f t="array" ref="V192">IFERROR(INDEX($C$2:$C$501,SMALL(IF($D$2:$D$501="Germany",ROW($D$2:$D$501)-1),ROW()-1)),"")</f>
        <v/>
      </c>
      <c r="W192">
        <f t="array" ref="W192">IFERROR(INDEX($C$2:$C$501,SMALL(IF($D$2:$D$501="Spain",ROW($D$2:$D$501)-1),ROW()-1)),"")</f>
        <v/>
      </c>
    </row>
    <row r="193">
      <c r="A193" t="n">
        <v>192</v>
      </c>
      <c r="B193" t="inlineStr">
        <is>
          <t>Wilson</t>
        </is>
      </c>
      <c r="C193" t="n">
        <v>725</v>
      </c>
      <c r="D193" t="inlineStr">
        <is>
          <t>France</t>
        </is>
      </c>
      <c r="E193" t="inlineStr">
        <is>
          <t>Female</t>
        </is>
      </c>
      <c r="F193" t="n">
        <v>39</v>
      </c>
      <c r="G193" t="n">
        <v>5</v>
      </c>
      <c r="H193" t="n">
        <v>96291.25</v>
      </c>
      <c r="I193" t="n">
        <v>1</v>
      </c>
      <c r="J193" t="n">
        <v>0</v>
      </c>
      <c r="K193" t="n">
        <v>0</v>
      </c>
      <c r="L193" t="n">
        <v>135564.73</v>
      </c>
      <c r="M193" t="n">
        <v>0</v>
      </c>
      <c r="O193">
        <f>IF($M193=1,$L193,"")</f>
        <v/>
      </c>
      <c r="P193">
        <f>IF($M193=0,$L193,"")</f>
        <v/>
      </c>
      <c r="R193">
        <f t="array" ref="R193">IFERROR(INDEX($L$2:$L$501,SMALL(IF($M$2:$M$501=1,ROW($M$2:$M$501)-1),ROW()-1)),"")</f>
        <v/>
      </c>
      <c r="S193">
        <f t="array" ref="S193">IFERROR(INDEX($L$2:$L$501,SMALL(IF($M$2:$M$501=0,ROW($M$2:$M$501)-1),ROW()-1)),"")</f>
        <v/>
      </c>
      <c r="U193">
        <f t="array" ref="U193">IFERROR(INDEX($C$2:$C$501,SMALL(IF($D$2:$D$501="France",ROW($D$2:$D$501)-1),ROW()-1)),"")</f>
        <v/>
      </c>
      <c r="V193">
        <f t="array" ref="V193">IFERROR(INDEX($C$2:$C$501,SMALL(IF($D$2:$D$501="Germany",ROW($D$2:$D$501)-1),ROW()-1)),"")</f>
        <v/>
      </c>
      <c r="W193">
        <f t="array" ref="W193">IFERROR(INDEX($C$2:$C$501,SMALL(IF($D$2:$D$501="Spain",ROW($D$2:$D$501)-1),ROW()-1)),"")</f>
        <v/>
      </c>
    </row>
    <row r="194">
      <c r="A194" t="n">
        <v>193</v>
      </c>
      <c r="B194" t="inlineStr">
        <is>
          <t>Smith</t>
        </is>
      </c>
      <c r="C194" t="n">
        <v>370</v>
      </c>
      <c r="D194" t="inlineStr">
        <is>
          <t>France</t>
        </is>
      </c>
      <c r="E194" t="inlineStr">
        <is>
          <t>Male</t>
        </is>
      </c>
      <c r="F194" t="n">
        <v>24</v>
      </c>
      <c r="G194" t="n">
        <v>6</v>
      </c>
      <c r="H194" t="n">
        <v>38342.59</v>
      </c>
      <c r="I194" t="n">
        <v>2</v>
      </c>
      <c r="J194" t="n">
        <v>0</v>
      </c>
      <c r="K194" t="n">
        <v>1</v>
      </c>
      <c r="L194" t="n">
        <v>18606.01</v>
      </c>
      <c r="M194" t="n">
        <v>0</v>
      </c>
      <c r="O194">
        <f>IF($M194=1,$L194,"")</f>
        <v/>
      </c>
      <c r="P194">
        <f>IF($M194=0,$L194,"")</f>
        <v/>
      </c>
      <c r="R194">
        <f t="array" ref="R194">IFERROR(INDEX($L$2:$L$501,SMALL(IF($M$2:$M$501=1,ROW($M$2:$M$501)-1),ROW()-1)),"")</f>
        <v/>
      </c>
      <c r="S194">
        <f t="array" ref="S194">IFERROR(INDEX($L$2:$L$501,SMALL(IF($M$2:$M$501=0,ROW($M$2:$M$501)-1),ROW()-1)),"")</f>
        <v/>
      </c>
      <c r="U194">
        <f t="array" ref="U194">IFERROR(INDEX($C$2:$C$501,SMALL(IF($D$2:$D$501="France",ROW($D$2:$D$501)-1),ROW()-1)),"")</f>
        <v/>
      </c>
      <c r="V194">
        <f t="array" ref="V194">IFERROR(INDEX($C$2:$C$501,SMALL(IF($D$2:$D$501="Germany",ROW($D$2:$D$501)-1),ROW()-1)),"")</f>
        <v/>
      </c>
      <c r="W194">
        <f t="array" ref="W194">IFERROR(INDEX($C$2:$C$501,SMALL(IF($D$2:$D$501="Spain",ROW($D$2:$D$501)-1),ROW()-1)),"")</f>
        <v/>
      </c>
    </row>
    <row r="195">
      <c r="A195" t="n">
        <v>194</v>
      </c>
      <c r="B195" t="inlineStr">
        <is>
          <t>Moore</t>
        </is>
      </c>
      <c r="C195" t="n">
        <v>558</v>
      </c>
      <c r="D195" t="inlineStr">
        <is>
          <t>Spain</t>
        </is>
      </c>
      <c r="E195" t="inlineStr">
        <is>
          <t>Male</t>
        </is>
      </c>
      <c r="F195" t="n">
        <v>39</v>
      </c>
      <c r="G195" t="n">
        <v>9</v>
      </c>
      <c r="H195" t="n">
        <v>222626.19</v>
      </c>
      <c r="I195" t="n">
        <v>2</v>
      </c>
      <c r="J195" t="n">
        <v>0</v>
      </c>
      <c r="K195" t="n">
        <v>0</v>
      </c>
      <c r="L195" t="n">
        <v>59452.54</v>
      </c>
      <c r="M195" t="n">
        <v>1</v>
      </c>
      <c r="O195">
        <f>IF($M195=1,$L195,"")</f>
        <v/>
      </c>
      <c r="P195">
        <f>IF($M195=0,$L195,"")</f>
        <v/>
      </c>
      <c r="R195">
        <f t="array" ref="R195">IFERROR(INDEX($L$2:$L$501,SMALL(IF($M$2:$M$501=1,ROW($M$2:$M$501)-1),ROW()-1)),"")</f>
        <v/>
      </c>
      <c r="S195">
        <f t="array" ref="S195">IFERROR(INDEX($L$2:$L$501,SMALL(IF($M$2:$M$501=0,ROW($M$2:$M$501)-1),ROW()-1)),"")</f>
        <v/>
      </c>
      <c r="U195">
        <f t="array" ref="U195">IFERROR(INDEX($C$2:$C$501,SMALL(IF($D$2:$D$501="France",ROW($D$2:$D$501)-1),ROW()-1)),"")</f>
        <v/>
      </c>
      <c r="V195">
        <f t="array" ref="V195">IFERROR(INDEX($C$2:$C$501,SMALL(IF($D$2:$D$501="Germany",ROW($D$2:$D$501)-1),ROW()-1)),"")</f>
        <v/>
      </c>
      <c r="W195">
        <f t="array" ref="W195">IFERROR(INDEX($C$2:$C$501,SMALL(IF($D$2:$D$501="Spain",ROW($D$2:$D$501)-1),ROW()-1)),"")</f>
        <v/>
      </c>
    </row>
    <row r="196">
      <c r="A196" t="n">
        <v>195</v>
      </c>
      <c r="B196" t="inlineStr">
        <is>
          <t>Brown</t>
        </is>
      </c>
      <c r="C196" t="n">
        <v>392</v>
      </c>
      <c r="D196" t="inlineStr">
        <is>
          <t>Spain</t>
        </is>
      </c>
      <c r="E196" t="inlineStr">
        <is>
          <t>Male</t>
        </is>
      </c>
      <c r="F196" t="n">
        <v>45</v>
      </c>
      <c r="G196" t="n">
        <v>9</v>
      </c>
      <c r="H196" t="n">
        <v>233110.85</v>
      </c>
      <c r="I196" t="n">
        <v>1</v>
      </c>
      <c r="J196" t="n">
        <v>0</v>
      </c>
      <c r="K196" t="n">
        <v>0</v>
      </c>
      <c r="L196" t="n">
        <v>72202.64999999999</v>
      </c>
      <c r="M196" t="n">
        <v>1</v>
      </c>
      <c r="O196">
        <f>IF($M196=1,$L196,"")</f>
        <v/>
      </c>
      <c r="P196">
        <f>IF($M196=0,$L196,"")</f>
        <v/>
      </c>
      <c r="R196">
        <f t="array" ref="R196">IFERROR(INDEX($L$2:$L$501,SMALL(IF($M$2:$M$501=1,ROW($M$2:$M$501)-1),ROW()-1)),"")</f>
        <v/>
      </c>
      <c r="S196">
        <f t="array" ref="S196">IFERROR(INDEX($L$2:$L$501,SMALL(IF($M$2:$M$501=0,ROW($M$2:$M$501)-1),ROW()-1)),"")</f>
        <v/>
      </c>
      <c r="U196">
        <f t="array" ref="U196">IFERROR(INDEX($C$2:$C$501,SMALL(IF($D$2:$D$501="France",ROW($D$2:$D$501)-1),ROW()-1)),"")</f>
        <v/>
      </c>
      <c r="V196">
        <f t="array" ref="V196">IFERROR(INDEX($C$2:$C$501,SMALL(IF($D$2:$D$501="Germany",ROW($D$2:$D$501)-1),ROW()-1)),"")</f>
        <v/>
      </c>
      <c r="W196">
        <f t="array" ref="W196">IFERROR(INDEX($C$2:$C$501,SMALL(IF($D$2:$D$501="Spain",ROW($D$2:$D$501)-1),ROW()-1)),"")</f>
        <v/>
      </c>
    </row>
    <row r="197">
      <c r="A197" t="n">
        <v>196</v>
      </c>
      <c r="B197" t="inlineStr">
        <is>
          <t>Miller</t>
        </is>
      </c>
      <c r="C197" t="n">
        <v>848</v>
      </c>
      <c r="D197" t="inlineStr">
        <is>
          <t>Spain</t>
        </is>
      </c>
      <c r="E197" t="inlineStr">
        <is>
          <t>Female</t>
        </is>
      </c>
      <c r="F197" t="n">
        <v>44</v>
      </c>
      <c r="G197" t="n">
        <v>3</v>
      </c>
      <c r="H197" t="n">
        <v>249802</v>
      </c>
      <c r="I197" t="n">
        <v>1</v>
      </c>
      <c r="J197" t="n">
        <v>1</v>
      </c>
      <c r="K197" t="n">
        <v>0</v>
      </c>
      <c r="L197" t="n">
        <v>139671.38</v>
      </c>
      <c r="M197" t="n">
        <v>1</v>
      </c>
      <c r="O197">
        <f>IF($M197=1,$L197,"")</f>
        <v/>
      </c>
      <c r="P197">
        <f>IF($M197=0,$L197,"")</f>
        <v/>
      </c>
      <c r="R197">
        <f t="array" ref="R197">IFERROR(INDEX($L$2:$L$501,SMALL(IF($M$2:$M$501=1,ROW($M$2:$M$501)-1),ROW()-1)),"")</f>
        <v/>
      </c>
      <c r="S197">
        <f t="array" ref="S197">IFERROR(INDEX($L$2:$L$501,SMALL(IF($M$2:$M$501=0,ROW($M$2:$M$501)-1),ROW()-1)),"")</f>
        <v/>
      </c>
      <c r="U197">
        <f t="array" ref="U197">IFERROR(INDEX($C$2:$C$501,SMALL(IF($D$2:$D$501="France",ROW($D$2:$D$501)-1),ROW()-1)),"")</f>
        <v/>
      </c>
      <c r="V197">
        <f t="array" ref="V197">IFERROR(INDEX($C$2:$C$501,SMALL(IF($D$2:$D$501="Germany",ROW($D$2:$D$501)-1),ROW()-1)),"")</f>
        <v/>
      </c>
      <c r="W197">
        <f t="array" ref="W197">IFERROR(INDEX($C$2:$C$501,SMALL(IF($D$2:$D$501="Spain",ROW($D$2:$D$501)-1),ROW()-1)),"")</f>
        <v/>
      </c>
    </row>
    <row r="198">
      <c r="A198" t="n">
        <v>197</v>
      </c>
      <c r="B198" t="inlineStr">
        <is>
          <t>Davis</t>
        </is>
      </c>
      <c r="C198" t="n">
        <v>378</v>
      </c>
      <c r="D198" t="inlineStr">
        <is>
          <t>Spain</t>
        </is>
      </c>
      <c r="E198" t="inlineStr">
        <is>
          <t>Male</t>
        </is>
      </c>
      <c r="F198" t="n">
        <v>82</v>
      </c>
      <c r="G198" t="n">
        <v>9</v>
      </c>
      <c r="H198" t="n">
        <v>59302.02</v>
      </c>
      <c r="I198" t="n">
        <v>2</v>
      </c>
      <c r="J198" t="n">
        <v>0</v>
      </c>
      <c r="K198" t="n">
        <v>1</v>
      </c>
      <c r="L198" t="n">
        <v>51011.37</v>
      </c>
      <c r="M198" t="n">
        <v>0</v>
      </c>
      <c r="O198">
        <f>IF($M198=1,$L198,"")</f>
        <v/>
      </c>
      <c r="P198">
        <f>IF($M198=0,$L198,"")</f>
        <v/>
      </c>
      <c r="R198">
        <f t="array" ref="R198">IFERROR(INDEX($L$2:$L$501,SMALL(IF($M$2:$M$501=1,ROW($M$2:$M$501)-1),ROW()-1)),"")</f>
        <v/>
      </c>
      <c r="S198">
        <f t="array" ref="S198">IFERROR(INDEX($L$2:$L$501,SMALL(IF($M$2:$M$501=0,ROW($M$2:$M$501)-1),ROW()-1)),"")</f>
        <v/>
      </c>
      <c r="U198">
        <f t="array" ref="U198">IFERROR(INDEX($C$2:$C$501,SMALL(IF($D$2:$D$501="France",ROW($D$2:$D$501)-1),ROW()-1)),"")</f>
        <v/>
      </c>
      <c r="V198">
        <f t="array" ref="V198">IFERROR(INDEX($C$2:$C$501,SMALL(IF($D$2:$D$501="Germany",ROW($D$2:$D$501)-1),ROW()-1)),"")</f>
        <v/>
      </c>
      <c r="W198">
        <f t="array" ref="W198">IFERROR(INDEX($C$2:$C$501,SMALL(IF($D$2:$D$501="Spain",ROW($D$2:$D$501)-1),ROW()-1)),"")</f>
        <v/>
      </c>
    </row>
    <row r="199">
      <c r="A199" t="n">
        <v>198</v>
      </c>
      <c r="B199" t="inlineStr">
        <is>
          <t>Moore</t>
        </is>
      </c>
      <c r="C199" t="n">
        <v>760</v>
      </c>
      <c r="D199" t="inlineStr">
        <is>
          <t>France</t>
        </is>
      </c>
      <c r="E199" t="inlineStr">
        <is>
          <t>Female</t>
        </is>
      </c>
      <c r="F199" t="n">
        <v>21</v>
      </c>
      <c r="G199" t="n">
        <v>4</v>
      </c>
      <c r="H199" t="n">
        <v>17937.98</v>
      </c>
      <c r="I199" t="n">
        <v>1</v>
      </c>
      <c r="J199" t="n">
        <v>0</v>
      </c>
      <c r="K199" t="n">
        <v>0</v>
      </c>
      <c r="L199" t="n">
        <v>106372.6</v>
      </c>
      <c r="M199" t="n">
        <v>0</v>
      </c>
      <c r="O199">
        <f>IF($M199=1,$L199,"")</f>
        <v/>
      </c>
      <c r="P199">
        <f>IF($M199=0,$L199,"")</f>
        <v/>
      </c>
      <c r="R199">
        <f t="array" ref="R199">IFERROR(INDEX($L$2:$L$501,SMALL(IF($M$2:$M$501=1,ROW($M$2:$M$501)-1),ROW()-1)),"")</f>
        <v/>
      </c>
      <c r="S199">
        <f t="array" ref="S199">IFERROR(INDEX($L$2:$L$501,SMALL(IF($M$2:$M$501=0,ROW($M$2:$M$501)-1),ROW()-1)),"")</f>
        <v/>
      </c>
      <c r="U199">
        <f t="array" ref="U199">IFERROR(INDEX($C$2:$C$501,SMALL(IF($D$2:$D$501="France",ROW($D$2:$D$501)-1),ROW()-1)),"")</f>
        <v/>
      </c>
      <c r="V199">
        <f t="array" ref="V199">IFERROR(INDEX($C$2:$C$501,SMALL(IF($D$2:$D$501="Germany",ROW($D$2:$D$501)-1),ROW()-1)),"")</f>
        <v/>
      </c>
      <c r="W199">
        <f t="array" ref="W199">IFERROR(INDEX($C$2:$C$501,SMALL(IF($D$2:$D$501="Spain",ROW($D$2:$D$501)-1),ROW()-1)),"")</f>
        <v/>
      </c>
    </row>
    <row r="200">
      <c r="A200" t="n">
        <v>199</v>
      </c>
      <c r="B200" t="inlineStr">
        <is>
          <t>Williams</t>
        </is>
      </c>
      <c r="C200" t="n">
        <v>693</v>
      </c>
      <c r="D200" t="inlineStr">
        <is>
          <t>Spain</t>
        </is>
      </c>
      <c r="E200" t="inlineStr">
        <is>
          <t>Male</t>
        </is>
      </c>
      <c r="F200" t="n">
        <v>71</v>
      </c>
      <c r="G200" t="n">
        <v>2</v>
      </c>
      <c r="H200" t="n">
        <v>37093.39</v>
      </c>
      <c r="I200" t="n">
        <v>3</v>
      </c>
      <c r="J200" t="n">
        <v>1</v>
      </c>
      <c r="K200" t="n">
        <v>0</v>
      </c>
      <c r="L200" t="n">
        <v>40784.48</v>
      </c>
      <c r="M200" t="n">
        <v>1</v>
      </c>
      <c r="O200">
        <f>IF($M200=1,$L200,"")</f>
        <v/>
      </c>
      <c r="P200">
        <f>IF($M200=0,$L200,"")</f>
        <v/>
      </c>
      <c r="R200">
        <f t="array" ref="R200">IFERROR(INDEX($L$2:$L$501,SMALL(IF($M$2:$M$501=1,ROW($M$2:$M$501)-1),ROW()-1)),"")</f>
        <v/>
      </c>
      <c r="S200">
        <f t="array" ref="S200">IFERROR(INDEX($L$2:$L$501,SMALL(IF($M$2:$M$501=0,ROW($M$2:$M$501)-1),ROW()-1)),"")</f>
        <v/>
      </c>
      <c r="U200">
        <f t="array" ref="U200">IFERROR(INDEX($C$2:$C$501,SMALL(IF($D$2:$D$501="France",ROW($D$2:$D$501)-1),ROW()-1)),"")</f>
        <v/>
      </c>
      <c r="V200">
        <f t="array" ref="V200">IFERROR(INDEX($C$2:$C$501,SMALL(IF($D$2:$D$501="Germany",ROW($D$2:$D$501)-1),ROW()-1)),"")</f>
        <v/>
      </c>
      <c r="W200">
        <f t="array" ref="W200">IFERROR(INDEX($C$2:$C$501,SMALL(IF($D$2:$D$501="Spain",ROW($D$2:$D$501)-1),ROW()-1)),"")</f>
        <v/>
      </c>
    </row>
    <row r="201">
      <c r="A201" t="n">
        <v>200</v>
      </c>
      <c r="B201" t="inlineStr">
        <is>
          <t>Jones</t>
        </is>
      </c>
      <c r="C201" t="n">
        <v>530</v>
      </c>
      <c r="D201" t="inlineStr">
        <is>
          <t>Germany</t>
        </is>
      </c>
      <c r="E201" t="inlineStr">
        <is>
          <t>Male</t>
        </is>
      </c>
      <c r="F201" t="n">
        <v>55</v>
      </c>
      <c r="G201" t="n">
        <v>1</v>
      </c>
      <c r="H201" t="n">
        <v>205216.41</v>
      </c>
      <c r="I201" t="n">
        <v>3</v>
      </c>
      <c r="J201" t="n">
        <v>0</v>
      </c>
      <c r="K201" t="n">
        <v>0</v>
      </c>
      <c r="L201" t="n">
        <v>95781.75</v>
      </c>
      <c r="M201" t="n">
        <v>1</v>
      </c>
      <c r="O201">
        <f>IF($M201=1,$L201,"")</f>
        <v/>
      </c>
      <c r="P201">
        <f>IF($M201=0,$L201,"")</f>
        <v/>
      </c>
      <c r="R201">
        <f t="array" ref="R201">IFERROR(INDEX($L$2:$L$501,SMALL(IF($M$2:$M$501=1,ROW($M$2:$M$501)-1),ROW()-1)),"")</f>
        <v/>
      </c>
      <c r="S201">
        <f t="array" ref="S201">IFERROR(INDEX($L$2:$L$501,SMALL(IF($M$2:$M$501=0,ROW($M$2:$M$501)-1),ROW()-1)),"")</f>
        <v/>
      </c>
      <c r="U201">
        <f t="array" ref="U201">IFERROR(INDEX($C$2:$C$501,SMALL(IF($D$2:$D$501="France",ROW($D$2:$D$501)-1),ROW()-1)),"")</f>
        <v/>
      </c>
      <c r="V201">
        <f t="array" ref="V201">IFERROR(INDEX($C$2:$C$501,SMALL(IF($D$2:$D$501="Germany",ROW($D$2:$D$501)-1),ROW()-1)),"")</f>
        <v/>
      </c>
      <c r="W201">
        <f t="array" ref="W201">IFERROR(INDEX($C$2:$C$501,SMALL(IF($D$2:$D$501="Spain",ROW($D$2:$D$501)-1),ROW()-1)),"")</f>
        <v/>
      </c>
    </row>
    <row r="202">
      <c r="A202" t="n">
        <v>201</v>
      </c>
      <c r="B202" t="inlineStr">
        <is>
          <t>Taylor</t>
        </is>
      </c>
      <c r="C202" t="n">
        <v>654</v>
      </c>
      <c r="D202" t="inlineStr">
        <is>
          <t>France</t>
        </is>
      </c>
      <c r="E202" t="inlineStr">
        <is>
          <t>Female</t>
        </is>
      </c>
      <c r="F202" t="n">
        <v>25</v>
      </c>
      <c r="G202" t="n">
        <v>6</v>
      </c>
      <c r="H202" t="n">
        <v>232419.55</v>
      </c>
      <c r="I202" t="n">
        <v>1</v>
      </c>
      <c r="J202" t="n">
        <v>1</v>
      </c>
      <c r="K202" t="n">
        <v>1</v>
      </c>
      <c r="L202" t="n">
        <v>25837.27</v>
      </c>
      <c r="M202" t="n">
        <v>1</v>
      </c>
      <c r="O202">
        <f>IF($M202=1,$L202,"")</f>
        <v/>
      </c>
      <c r="P202">
        <f>IF($M202=0,$L202,"")</f>
        <v/>
      </c>
      <c r="R202">
        <f t="array" ref="R202">IFERROR(INDEX($L$2:$L$501,SMALL(IF($M$2:$M$501=1,ROW($M$2:$M$501)-1),ROW()-1)),"")</f>
        <v/>
      </c>
      <c r="S202">
        <f t="array" ref="S202">IFERROR(INDEX($L$2:$L$501,SMALL(IF($M$2:$M$501=0,ROW($M$2:$M$501)-1),ROW()-1)),"")</f>
        <v/>
      </c>
      <c r="U202">
        <f t="array" ref="U202">IFERROR(INDEX($C$2:$C$501,SMALL(IF($D$2:$D$501="France",ROW($D$2:$D$501)-1),ROW()-1)),"")</f>
        <v/>
      </c>
      <c r="V202">
        <f t="array" ref="V202">IFERROR(INDEX($C$2:$C$501,SMALL(IF($D$2:$D$501="Germany",ROW($D$2:$D$501)-1),ROW()-1)),"")</f>
        <v/>
      </c>
      <c r="W202">
        <f t="array" ref="W202">IFERROR(INDEX($C$2:$C$501,SMALL(IF($D$2:$D$501="Spain",ROW($D$2:$D$501)-1),ROW()-1)),"")</f>
        <v/>
      </c>
    </row>
    <row r="203">
      <c r="A203" t="n">
        <v>202</v>
      </c>
      <c r="B203" t="inlineStr">
        <is>
          <t>Wilson</t>
        </is>
      </c>
      <c r="C203" t="n">
        <v>800</v>
      </c>
      <c r="D203" t="inlineStr">
        <is>
          <t>Germany</t>
        </is>
      </c>
      <c r="E203" t="inlineStr">
        <is>
          <t>Male</t>
        </is>
      </c>
      <c r="F203" t="n">
        <v>29</v>
      </c>
      <c r="G203" t="n">
        <v>0</v>
      </c>
      <c r="H203" t="n">
        <v>88974.52</v>
      </c>
      <c r="I203" t="n">
        <v>4</v>
      </c>
      <c r="J203" t="n">
        <v>1</v>
      </c>
      <c r="K203" t="n">
        <v>1</v>
      </c>
      <c r="L203" t="n">
        <v>115636.53</v>
      </c>
      <c r="M203" t="n">
        <v>0</v>
      </c>
      <c r="O203">
        <f>IF($M203=1,$L203,"")</f>
        <v/>
      </c>
      <c r="P203">
        <f>IF($M203=0,$L203,"")</f>
        <v/>
      </c>
      <c r="R203">
        <f t="array" ref="R203">IFERROR(INDEX($L$2:$L$501,SMALL(IF($M$2:$M$501=1,ROW($M$2:$M$501)-1),ROW()-1)),"")</f>
        <v/>
      </c>
      <c r="S203">
        <f t="array" ref="S203">IFERROR(INDEX($L$2:$L$501,SMALL(IF($M$2:$M$501=0,ROW($M$2:$M$501)-1),ROW()-1)),"")</f>
        <v/>
      </c>
      <c r="U203">
        <f t="array" ref="U203">IFERROR(INDEX($C$2:$C$501,SMALL(IF($D$2:$D$501="France",ROW($D$2:$D$501)-1),ROW()-1)),"")</f>
        <v/>
      </c>
      <c r="V203">
        <f t="array" ref="V203">IFERROR(INDEX($C$2:$C$501,SMALL(IF($D$2:$D$501="Germany",ROW($D$2:$D$501)-1),ROW()-1)),"")</f>
        <v/>
      </c>
      <c r="W203">
        <f t="array" ref="W203">IFERROR(INDEX($C$2:$C$501,SMALL(IF($D$2:$D$501="Spain",ROW($D$2:$D$501)-1),ROW()-1)),"")</f>
        <v/>
      </c>
    </row>
    <row r="204">
      <c r="A204" t="n">
        <v>203</v>
      </c>
      <c r="B204" t="inlineStr">
        <is>
          <t>Davis</t>
        </is>
      </c>
      <c r="C204" t="n">
        <v>452</v>
      </c>
      <c r="D204" t="inlineStr">
        <is>
          <t>Spain</t>
        </is>
      </c>
      <c r="E204" t="inlineStr">
        <is>
          <t>Male</t>
        </is>
      </c>
      <c r="F204" t="n">
        <v>20</v>
      </c>
      <c r="G204" t="n">
        <v>2</v>
      </c>
      <c r="H204" t="n">
        <v>240624.04</v>
      </c>
      <c r="I204" t="n">
        <v>3</v>
      </c>
      <c r="J204" t="n">
        <v>0</v>
      </c>
      <c r="K204" t="n">
        <v>0</v>
      </c>
      <c r="L204" t="n">
        <v>16236.92</v>
      </c>
      <c r="M204" t="n">
        <v>1</v>
      </c>
      <c r="O204">
        <f>IF($M204=1,$L204,"")</f>
        <v/>
      </c>
      <c r="P204">
        <f>IF($M204=0,$L204,"")</f>
        <v/>
      </c>
      <c r="R204">
        <f t="array" ref="R204">IFERROR(INDEX($L$2:$L$501,SMALL(IF($M$2:$M$501=1,ROW($M$2:$M$501)-1),ROW()-1)),"")</f>
        <v/>
      </c>
      <c r="S204">
        <f t="array" ref="S204">IFERROR(INDEX($L$2:$L$501,SMALL(IF($M$2:$M$501=0,ROW($M$2:$M$501)-1),ROW()-1)),"")</f>
        <v/>
      </c>
      <c r="U204">
        <f t="array" ref="U204">IFERROR(INDEX($C$2:$C$501,SMALL(IF($D$2:$D$501="France",ROW($D$2:$D$501)-1),ROW()-1)),"")</f>
        <v/>
      </c>
      <c r="V204">
        <f t="array" ref="V204">IFERROR(INDEX($C$2:$C$501,SMALL(IF($D$2:$D$501="Germany",ROW($D$2:$D$501)-1),ROW()-1)),"")</f>
        <v/>
      </c>
      <c r="W204">
        <f t="array" ref="W204">IFERROR(INDEX($C$2:$C$501,SMALL(IF($D$2:$D$501="Spain",ROW($D$2:$D$501)-1),ROW()-1)),"")</f>
        <v/>
      </c>
    </row>
    <row r="205">
      <c r="A205" t="n">
        <v>204</v>
      </c>
      <c r="B205" t="inlineStr">
        <is>
          <t>Jones</t>
        </is>
      </c>
      <c r="C205" t="n">
        <v>615</v>
      </c>
      <c r="D205" t="inlineStr">
        <is>
          <t>France</t>
        </is>
      </c>
      <c r="E205" t="inlineStr">
        <is>
          <t>Female</t>
        </is>
      </c>
      <c r="F205" t="n">
        <v>72</v>
      </c>
      <c r="G205" t="n">
        <v>6</v>
      </c>
      <c r="H205" t="n">
        <v>199237.9</v>
      </c>
      <c r="I205" t="n">
        <v>2</v>
      </c>
      <c r="J205" t="n">
        <v>0</v>
      </c>
      <c r="K205" t="n">
        <v>0</v>
      </c>
      <c r="L205" t="n">
        <v>149768.05</v>
      </c>
      <c r="M205" t="n">
        <v>1</v>
      </c>
      <c r="O205">
        <f>IF($M205=1,$L205,"")</f>
        <v/>
      </c>
      <c r="P205">
        <f>IF($M205=0,$L205,"")</f>
        <v/>
      </c>
      <c r="R205">
        <f t="array" ref="R205">IFERROR(INDEX($L$2:$L$501,SMALL(IF($M$2:$M$501=1,ROW($M$2:$M$501)-1),ROW()-1)),"")</f>
        <v/>
      </c>
      <c r="S205">
        <f t="array" ref="S205">IFERROR(INDEX($L$2:$L$501,SMALL(IF($M$2:$M$501=0,ROW($M$2:$M$501)-1),ROW()-1)),"")</f>
        <v/>
      </c>
      <c r="U205">
        <f t="array" ref="U205">IFERROR(INDEX($C$2:$C$501,SMALL(IF($D$2:$D$501="France",ROW($D$2:$D$501)-1),ROW()-1)),"")</f>
        <v/>
      </c>
      <c r="V205">
        <f t="array" ref="V205">IFERROR(INDEX($C$2:$C$501,SMALL(IF($D$2:$D$501="Germany",ROW($D$2:$D$501)-1),ROW()-1)),"")</f>
        <v/>
      </c>
      <c r="W205">
        <f t="array" ref="W205">IFERROR(INDEX($C$2:$C$501,SMALL(IF($D$2:$D$501="Spain",ROW($D$2:$D$501)-1),ROW()-1)),"")</f>
        <v/>
      </c>
    </row>
    <row r="206">
      <c r="A206" t="n">
        <v>205</v>
      </c>
      <c r="B206" t="inlineStr">
        <is>
          <t>Brown</t>
        </is>
      </c>
      <c r="C206" t="n">
        <v>608</v>
      </c>
      <c r="D206" t="inlineStr">
        <is>
          <t>Germany</t>
        </is>
      </c>
      <c r="E206" t="inlineStr">
        <is>
          <t>Female</t>
        </is>
      </c>
      <c r="F206" t="n">
        <v>23</v>
      </c>
      <c r="G206" t="n">
        <v>3</v>
      </c>
      <c r="H206" t="n">
        <v>88373.17999999999</v>
      </c>
      <c r="I206" t="n">
        <v>1</v>
      </c>
      <c r="J206" t="n">
        <v>0</v>
      </c>
      <c r="K206" t="n">
        <v>0</v>
      </c>
      <c r="L206" t="n">
        <v>122196.71</v>
      </c>
      <c r="M206" t="n">
        <v>0</v>
      </c>
      <c r="O206">
        <f>IF($M206=1,$L206,"")</f>
        <v/>
      </c>
      <c r="P206">
        <f>IF($M206=0,$L206,"")</f>
        <v/>
      </c>
      <c r="R206">
        <f t="array" ref="R206">IFERROR(INDEX($L$2:$L$501,SMALL(IF($M$2:$M$501=1,ROW($M$2:$M$501)-1),ROW()-1)),"")</f>
        <v/>
      </c>
      <c r="S206">
        <f t="array" ref="S206">IFERROR(INDEX($L$2:$L$501,SMALL(IF($M$2:$M$501=0,ROW($M$2:$M$501)-1),ROW()-1)),"")</f>
        <v/>
      </c>
      <c r="U206">
        <f t="array" ref="U206">IFERROR(INDEX($C$2:$C$501,SMALL(IF($D$2:$D$501="France",ROW($D$2:$D$501)-1),ROW()-1)),"")</f>
        <v/>
      </c>
      <c r="V206">
        <f t="array" ref="V206">IFERROR(INDEX($C$2:$C$501,SMALL(IF($D$2:$D$501="Germany",ROW($D$2:$D$501)-1),ROW()-1)),"")</f>
        <v/>
      </c>
      <c r="W206">
        <f t="array" ref="W206">IFERROR(INDEX($C$2:$C$501,SMALL(IF($D$2:$D$501="Spain",ROW($D$2:$D$501)-1),ROW()-1)),"")</f>
        <v/>
      </c>
    </row>
    <row r="207">
      <c r="A207" t="n">
        <v>206</v>
      </c>
      <c r="B207" t="inlineStr">
        <is>
          <t>Davis</t>
        </is>
      </c>
      <c r="C207" t="n">
        <v>722</v>
      </c>
      <c r="D207" t="inlineStr">
        <is>
          <t>France</t>
        </is>
      </c>
      <c r="E207" t="inlineStr">
        <is>
          <t>Male</t>
        </is>
      </c>
      <c r="F207" t="n">
        <v>35</v>
      </c>
      <c r="G207" t="n">
        <v>7</v>
      </c>
      <c r="H207" t="n">
        <v>212738.23</v>
      </c>
      <c r="I207" t="n">
        <v>4</v>
      </c>
      <c r="J207" t="n">
        <v>1</v>
      </c>
      <c r="K207" t="n">
        <v>1</v>
      </c>
      <c r="L207" t="n">
        <v>95777.53</v>
      </c>
      <c r="M207" t="n">
        <v>1</v>
      </c>
      <c r="O207">
        <f>IF($M207=1,$L207,"")</f>
        <v/>
      </c>
      <c r="P207">
        <f>IF($M207=0,$L207,"")</f>
        <v/>
      </c>
      <c r="R207">
        <f t="array" ref="R207">IFERROR(INDEX($L$2:$L$501,SMALL(IF($M$2:$M$501=1,ROW($M$2:$M$501)-1),ROW()-1)),"")</f>
        <v/>
      </c>
      <c r="S207">
        <f t="array" ref="S207">IFERROR(INDEX($L$2:$L$501,SMALL(IF($M$2:$M$501=0,ROW($M$2:$M$501)-1),ROW()-1)),"")</f>
        <v/>
      </c>
      <c r="U207">
        <f t="array" ref="U207">IFERROR(INDEX($C$2:$C$501,SMALL(IF($D$2:$D$501="France",ROW($D$2:$D$501)-1),ROW()-1)),"")</f>
        <v/>
      </c>
      <c r="V207">
        <f t="array" ref="V207">IFERROR(INDEX($C$2:$C$501,SMALL(IF($D$2:$D$501="Germany",ROW($D$2:$D$501)-1),ROW()-1)),"")</f>
        <v/>
      </c>
      <c r="W207">
        <f t="array" ref="W207">IFERROR(INDEX($C$2:$C$501,SMALL(IF($D$2:$D$501="Spain",ROW($D$2:$D$501)-1),ROW()-1)),"")</f>
        <v/>
      </c>
    </row>
    <row r="208">
      <c r="A208" t="n">
        <v>207</v>
      </c>
      <c r="B208" t="inlineStr">
        <is>
          <t>Jones</t>
        </is>
      </c>
      <c r="C208" t="n">
        <v>714</v>
      </c>
      <c r="D208" t="inlineStr">
        <is>
          <t>Germany</t>
        </is>
      </c>
      <c r="E208" t="inlineStr">
        <is>
          <t>Male</t>
        </is>
      </c>
      <c r="F208" t="n">
        <v>23</v>
      </c>
      <c r="G208" t="n">
        <v>5</v>
      </c>
      <c r="H208" t="n">
        <v>160251.42</v>
      </c>
      <c r="I208" t="n">
        <v>3</v>
      </c>
      <c r="J208" t="n">
        <v>1</v>
      </c>
      <c r="K208" t="n">
        <v>0</v>
      </c>
      <c r="L208" t="n">
        <v>117590.06</v>
      </c>
      <c r="M208" t="n">
        <v>1</v>
      </c>
      <c r="O208">
        <f>IF($M208=1,$L208,"")</f>
        <v/>
      </c>
      <c r="P208">
        <f>IF($M208=0,$L208,"")</f>
        <v/>
      </c>
      <c r="R208">
        <f t="array" ref="R208">IFERROR(INDEX($L$2:$L$501,SMALL(IF($M$2:$M$501=1,ROW($M$2:$M$501)-1),ROW()-1)),"")</f>
        <v/>
      </c>
      <c r="S208">
        <f t="array" ref="S208">IFERROR(INDEX($L$2:$L$501,SMALL(IF($M$2:$M$501=0,ROW($M$2:$M$501)-1),ROW()-1)),"")</f>
        <v/>
      </c>
      <c r="U208">
        <f t="array" ref="U208">IFERROR(INDEX($C$2:$C$501,SMALL(IF($D$2:$D$501="France",ROW($D$2:$D$501)-1),ROW()-1)),"")</f>
        <v/>
      </c>
      <c r="V208">
        <f t="array" ref="V208">IFERROR(INDEX($C$2:$C$501,SMALL(IF($D$2:$D$501="Germany",ROW($D$2:$D$501)-1),ROW()-1)),"")</f>
        <v/>
      </c>
      <c r="W208">
        <f t="array" ref="W208">IFERROR(INDEX($C$2:$C$501,SMALL(IF($D$2:$D$501="Spain",ROW($D$2:$D$501)-1),ROW()-1)),"")</f>
        <v/>
      </c>
    </row>
    <row r="209">
      <c r="A209" t="n">
        <v>208</v>
      </c>
      <c r="B209" t="inlineStr">
        <is>
          <t>Jones</t>
        </is>
      </c>
      <c r="C209" t="n">
        <v>583</v>
      </c>
      <c r="D209" t="inlineStr">
        <is>
          <t>France</t>
        </is>
      </c>
      <c r="E209" t="inlineStr">
        <is>
          <t>Female</t>
        </is>
      </c>
      <c r="F209" t="n">
        <v>48</v>
      </c>
      <c r="G209" t="n">
        <v>10</v>
      </c>
      <c r="H209" t="n">
        <v>111620.9</v>
      </c>
      <c r="I209" t="n">
        <v>1</v>
      </c>
      <c r="J209" t="n">
        <v>1</v>
      </c>
      <c r="K209" t="n">
        <v>1</v>
      </c>
      <c r="L209" t="n">
        <v>10423.71</v>
      </c>
      <c r="M209" t="n">
        <v>1</v>
      </c>
      <c r="O209">
        <f>IF($M209=1,$L209,"")</f>
        <v/>
      </c>
      <c r="P209">
        <f>IF($M209=0,$L209,"")</f>
        <v/>
      </c>
      <c r="R209">
        <f t="array" ref="R209">IFERROR(INDEX($L$2:$L$501,SMALL(IF($M$2:$M$501=1,ROW($M$2:$M$501)-1),ROW()-1)),"")</f>
        <v/>
      </c>
      <c r="S209">
        <f t="array" ref="S209">IFERROR(INDEX($L$2:$L$501,SMALL(IF($M$2:$M$501=0,ROW($M$2:$M$501)-1),ROW()-1)),"")</f>
        <v/>
      </c>
      <c r="U209">
        <f t="array" ref="U209">IFERROR(INDEX($C$2:$C$501,SMALL(IF($D$2:$D$501="France",ROW($D$2:$D$501)-1),ROW()-1)),"")</f>
        <v/>
      </c>
      <c r="V209">
        <f t="array" ref="V209">IFERROR(INDEX($C$2:$C$501,SMALL(IF($D$2:$D$501="Germany",ROW($D$2:$D$501)-1),ROW()-1)),"")</f>
        <v/>
      </c>
      <c r="W209">
        <f t="array" ref="W209">IFERROR(INDEX($C$2:$C$501,SMALL(IF($D$2:$D$501="Spain",ROW($D$2:$D$501)-1),ROW()-1)),"")</f>
        <v/>
      </c>
    </row>
    <row r="210">
      <c r="A210" t="n">
        <v>209</v>
      </c>
      <c r="B210" t="inlineStr">
        <is>
          <t>Wilson</t>
        </is>
      </c>
      <c r="C210" t="n">
        <v>695</v>
      </c>
      <c r="D210" t="inlineStr">
        <is>
          <t>Germany</t>
        </is>
      </c>
      <c r="E210" t="inlineStr">
        <is>
          <t>Female</t>
        </is>
      </c>
      <c r="F210" t="n">
        <v>21</v>
      </c>
      <c r="G210" t="n">
        <v>10</v>
      </c>
      <c r="H210" t="n">
        <v>112981.4</v>
      </c>
      <c r="I210" t="n">
        <v>4</v>
      </c>
      <c r="J210" t="n">
        <v>0</v>
      </c>
      <c r="K210" t="n">
        <v>1</v>
      </c>
      <c r="L210" t="n">
        <v>69975.32000000001</v>
      </c>
      <c r="M210" t="n">
        <v>0</v>
      </c>
      <c r="O210">
        <f>IF($M210=1,$L210,"")</f>
        <v/>
      </c>
      <c r="P210">
        <f>IF($M210=0,$L210,"")</f>
        <v/>
      </c>
      <c r="R210">
        <f t="array" ref="R210">IFERROR(INDEX($L$2:$L$501,SMALL(IF($M$2:$M$501=1,ROW($M$2:$M$501)-1),ROW()-1)),"")</f>
        <v/>
      </c>
      <c r="S210">
        <f t="array" ref="S210">IFERROR(INDEX($L$2:$L$501,SMALL(IF($M$2:$M$501=0,ROW($M$2:$M$501)-1),ROW()-1)),"")</f>
        <v/>
      </c>
      <c r="U210">
        <f t="array" ref="U210">IFERROR(INDEX($C$2:$C$501,SMALL(IF($D$2:$D$501="France",ROW($D$2:$D$501)-1),ROW()-1)),"")</f>
        <v/>
      </c>
      <c r="V210">
        <f t="array" ref="V210">IFERROR(INDEX($C$2:$C$501,SMALL(IF($D$2:$D$501="Germany",ROW($D$2:$D$501)-1),ROW()-1)),"")</f>
        <v/>
      </c>
      <c r="W210">
        <f t="array" ref="W210">IFERROR(INDEX($C$2:$C$501,SMALL(IF($D$2:$D$501="Spain",ROW($D$2:$D$501)-1),ROW()-1)),"")</f>
        <v/>
      </c>
    </row>
    <row r="211">
      <c r="A211" t="n">
        <v>210</v>
      </c>
      <c r="B211" t="inlineStr">
        <is>
          <t>Taylor</t>
        </is>
      </c>
      <c r="C211" t="n">
        <v>730</v>
      </c>
      <c r="D211" t="inlineStr">
        <is>
          <t>Germany</t>
        </is>
      </c>
      <c r="E211" t="inlineStr">
        <is>
          <t>Female</t>
        </is>
      </c>
      <c r="F211" t="n">
        <v>18</v>
      </c>
      <c r="G211" t="n">
        <v>2</v>
      </c>
      <c r="H211" t="n">
        <v>240529.94</v>
      </c>
      <c r="I211" t="n">
        <v>3</v>
      </c>
      <c r="J211" t="n">
        <v>1</v>
      </c>
      <c r="K211" t="n">
        <v>0</v>
      </c>
      <c r="L211" t="n">
        <v>93107.10000000001</v>
      </c>
      <c r="M211" t="n">
        <v>0</v>
      </c>
      <c r="O211">
        <f>IF($M211=1,$L211,"")</f>
        <v/>
      </c>
      <c r="P211">
        <f>IF($M211=0,$L211,"")</f>
        <v/>
      </c>
      <c r="R211">
        <f t="array" ref="R211">IFERROR(INDEX($L$2:$L$501,SMALL(IF($M$2:$M$501=1,ROW($M$2:$M$501)-1),ROW()-1)),"")</f>
        <v/>
      </c>
      <c r="S211">
        <f t="array" ref="S211">IFERROR(INDEX($L$2:$L$501,SMALL(IF($M$2:$M$501=0,ROW($M$2:$M$501)-1),ROW()-1)),"")</f>
        <v/>
      </c>
      <c r="U211">
        <f t="array" ref="U211">IFERROR(INDEX($C$2:$C$501,SMALL(IF($D$2:$D$501="France",ROW($D$2:$D$501)-1),ROW()-1)),"")</f>
        <v/>
      </c>
      <c r="V211">
        <f t="array" ref="V211">IFERROR(INDEX($C$2:$C$501,SMALL(IF($D$2:$D$501="Germany",ROW($D$2:$D$501)-1),ROW()-1)),"")</f>
        <v/>
      </c>
      <c r="W211">
        <f t="array" ref="W211">IFERROR(INDEX($C$2:$C$501,SMALL(IF($D$2:$D$501="Spain",ROW($D$2:$D$501)-1),ROW()-1)),"")</f>
        <v/>
      </c>
    </row>
    <row r="212">
      <c r="A212" t="n">
        <v>211</v>
      </c>
      <c r="B212" t="inlineStr">
        <is>
          <t>Taylor</t>
        </is>
      </c>
      <c r="C212" t="n">
        <v>723</v>
      </c>
      <c r="D212" t="inlineStr">
        <is>
          <t>Germany</t>
        </is>
      </c>
      <c r="E212" t="inlineStr">
        <is>
          <t>Female</t>
        </is>
      </c>
      <c r="F212" t="n">
        <v>62</v>
      </c>
      <c r="G212" t="n">
        <v>6</v>
      </c>
      <c r="H212" t="n">
        <v>73255.71000000001</v>
      </c>
      <c r="I212" t="n">
        <v>1</v>
      </c>
      <c r="J212" t="n">
        <v>1</v>
      </c>
      <c r="K212" t="n">
        <v>0</v>
      </c>
      <c r="L212" t="n">
        <v>146668.19</v>
      </c>
      <c r="M212" t="n">
        <v>0</v>
      </c>
      <c r="O212">
        <f>IF($M212=1,$L212,"")</f>
        <v/>
      </c>
      <c r="P212">
        <f>IF($M212=0,$L212,"")</f>
        <v/>
      </c>
      <c r="R212">
        <f t="array" ref="R212">IFERROR(INDEX($L$2:$L$501,SMALL(IF($M$2:$M$501=1,ROW($M$2:$M$501)-1),ROW()-1)),"")</f>
        <v/>
      </c>
      <c r="S212">
        <f t="array" ref="S212">IFERROR(INDEX($L$2:$L$501,SMALL(IF($M$2:$M$501=0,ROW($M$2:$M$501)-1),ROW()-1)),"")</f>
        <v/>
      </c>
      <c r="U212">
        <f t="array" ref="U212">IFERROR(INDEX($C$2:$C$501,SMALL(IF($D$2:$D$501="France",ROW($D$2:$D$501)-1),ROW()-1)),"")</f>
        <v/>
      </c>
      <c r="V212">
        <f t="array" ref="V212">IFERROR(INDEX($C$2:$C$501,SMALL(IF($D$2:$D$501="Germany",ROW($D$2:$D$501)-1),ROW()-1)),"")</f>
        <v/>
      </c>
      <c r="W212">
        <f t="array" ref="W212">IFERROR(INDEX($C$2:$C$501,SMALL(IF($D$2:$D$501="Spain",ROW($D$2:$D$501)-1),ROW()-1)),"")</f>
        <v/>
      </c>
    </row>
    <row r="213">
      <c r="A213" t="n">
        <v>212</v>
      </c>
      <c r="B213" t="inlineStr">
        <is>
          <t>Taylor</t>
        </is>
      </c>
      <c r="C213" t="n">
        <v>450</v>
      </c>
      <c r="D213" t="inlineStr">
        <is>
          <t>France</t>
        </is>
      </c>
      <c r="E213" t="inlineStr">
        <is>
          <t>Male</t>
        </is>
      </c>
      <c r="F213" t="n">
        <v>62</v>
      </c>
      <c r="G213" t="n">
        <v>6</v>
      </c>
      <c r="H213" t="n">
        <v>167423.71</v>
      </c>
      <c r="I213" t="n">
        <v>4</v>
      </c>
      <c r="J213" t="n">
        <v>0</v>
      </c>
      <c r="K213" t="n">
        <v>1</v>
      </c>
      <c r="L213" t="n">
        <v>61220.89</v>
      </c>
      <c r="M213" t="n">
        <v>1</v>
      </c>
      <c r="O213">
        <f>IF($M213=1,$L213,"")</f>
        <v/>
      </c>
      <c r="P213">
        <f>IF($M213=0,$L213,"")</f>
        <v/>
      </c>
      <c r="R213">
        <f t="array" ref="R213">IFERROR(INDEX($L$2:$L$501,SMALL(IF($M$2:$M$501=1,ROW($M$2:$M$501)-1),ROW()-1)),"")</f>
        <v/>
      </c>
      <c r="S213">
        <f t="array" ref="S213">IFERROR(INDEX($L$2:$L$501,SMALL(IF($M$2:$M$501=0,ROW($M$2:$M$501)-1),ROW()-1)),"")</f>
        <v/>
      </c>
      <c r="U213">
        <f t="array" ref="U213">IFERROR(INDEX($C$2:$C$501,SMALL(IF($D$2:$D$501="France",ROW($D$2:$D$501)-1),ROW()-1)),"")</f>
        <v/>
      </c>
      <c r="V213">
        <f t="array" ref="V213">IFERROR(INDEX($C$2:$C$501,SMALL(IF($D$2:$D$501="Germany",ROW($D$2:$D$501)-1),ROW()-1)),"")</f>
        <v/>
      </c>
      <c r="W213">
        <f t="array" ref="W213">IFERROR(INDEX($C$2:$C$501,SMALL(IF($D$2:$D$501="Spain",ROW($D$2:$D$501)-1),ROW()-1)),"")</f>
        <v/>
      </c>
    </row>
    <row r="214">
      <c r="A214" t="n">
        <v>213</v>
      </c>
      <c r="B214" t="inlineStr">
        <is>
          <t>Wilson</t>
        </is>
      </c>
      <c r="C214" t="n">
        <v>440</v>
      </c>
      <c r="D214" t="inlineStr">
        <is>
          <t>Germany</t>
        </is>
      </c>
      <c r="E214" t="inlineStr">
        <is>
          <t>Male</t>
        </is>
      </c>
      <c r="F214" t="n">
        <v>79</v>
      </c>
      <c r="G214" t="n">
        <v>10</v>
      </c>
      <c r="H214" t="n">
        <v>201052.55</v>
      </c>
      <c r="I214" t="n">
        <v>2</v>
      </c>
      <c r="J214" t="n">
        <v>0</v>
      </c>
      <c r="K214" t="n">
        <v>0</v>
      </c>
      <c r="L214" t="n">
        <v>145868.74</v>
      </c>
      <c r="M214" t="n">
        <v>0</v>
      </c>
      <c r="O214">
        <f>IF($M214=1,$L214,"")</f>
        <v/>
      </c>
      <c r="P214">
        <f>IF($M214=0,$L214,"")</f>
        <v/>
      </c>
      <c r="R214">
        <f t="array" ref="R214">IFERROR(INDEX($L$2:$L$501,SMALL(IF($M$2:$M$501=1,ROW($M$2:$M$501)-1),ROW()-1)),"")</f>
        <v/>
      </c>
      <c r="S214">
        <f t="array" ref="S214">IFERROR(INDEX($L$2:$L$501,SMALL(IF($M$2:$M$501=0,ROW($M$2:$M$501)-1),ROW()-1)),"")</f>
        <v/>
      </c>
      <c r="U214">
        <f t="array" ref="U214">IFERROR(INDEX($C$2:$C$501,SMALL(IF($D$2:$D$501="France",ROW($D$2:$D$501)-1),ROW()-1)),"")</f>
        <v/>
      </c>
      <c r="V214">
        <f t="array" ref="V214">IFERROR(INDEX($C$2:$C$501,SMALL(IF($D$2:$D$501="Germany",ROW($D$2:$D$501)-1),ROW()-1)),"")</f>
        <v/>
      </c>
      <c r="W214">
        <f t="array" ref="W214">IFERROR(INDEX($C$2:$C$501,SMALL(IF($D$2:$D$501="Spain",ROW($D$2:$D$501)-1),ROW()-1)),"")</f>
        <v/>
      </c>
    </row>
    <row r="215">
      <c r="A215" t="n">
        <v>214</v>
      </c>
      <c r="B215" t="inlineStr">
        <is>
          <t>Jones</t>
        </is>
      </c>
      <c r="C215" t="n">
        <v>418</v>
      </c>
      <c r="D215" t="inlineStr">
        <is>
          <t>Germany</t>
        </is>
      </c>
      <c r="E215" t="inlineStr">
        <is>
          <t>Female</t>
        </is>
      </c>
      <c r="F215" t="n">
        <v>18</v>
      </c>
      <c r="G215" t="n">
        <v>1</v>
      </c>
      <c r="H215" t="n">
        <v>96345.86</v>
      </c>
      <c r="I215" t="n">
        <v>4</v>
      </c>
      <c r="J215" t="n">
        <v>1</v>
      </c>
      <c r="K215" t="n">
        <v>0</v>
      </c>
      <c r="L215" t="n">
        <v>82176.89999999999</v>
      </c>
      <c r="M215" t="n">
        <v>0</v>
      </c>
      <c r="O215">
        <f>IF($M215=1,$L215,"")</f>
        <v/>
      </c>
      <c r="P215">
        <f>IF($M215=0,$L215,"")</f>
        <v/>
      </c>
      <c r="R215">
        <f t="array" ref="R215">IFERROR(INDEX($L$2:$L$501,SMALL(IF($M$2:$M$501=1,ROW($M$2:$M$501)-1),ROW()-1)),"")</f>
        <v/>
      </c>
      <c r="S215">
        <f t="array" ref="S215">IFERROR(INDEX($L$2:$L$501,SMALL(IF($M$2:$M$501=0,ROW($M$2:$M$501)-1),ROW()-1)),"")</f>
        <v/>
      </c>
      <c r="U215">
        <f t="array" ref="U215">IFERROR(INDEX($C$2:$C$501,SMALL(IF($D$2:$D$501="France",ROW($D$2:$D$501)-1),ROW()-1)),"")</f>
        <v/>
      </c>
      <c r="V215">
        <f t="array" ref="V215">IFERROR(INDEX($C$2:$C$501,SMALL(IF($D$2:$D$501="Germany",ROW($D$2:$D$501)-1),ROW()-1)),"")</f>
        <v/>
      </c>
      <c r="W215">
        <f t="array" ref="W215">IFERROR(INDEX($C$2:$C$501,SMALL(IF($D$2:$D$501="Spain",ROW($D$2:$D$501)-1),ROW()-1)),"")</f>
        <v/>
      </c>
    </row>
    <row r="216">
      <c r="A216" t="n">
        <v>215</v>
      </c>
      <c r="B216" t="inlineStr">
        <is>
          <t>Williams</t>
        </is>
      </c>
      <c r="C216" t="n">
        <v>455</v>
      </c>
      <c r="D216" t="inlineStr">
        <is>
          <t>Spain</t>
        </is>
      </c>
      <c r="E216" t="inlineStr">
        <is>
          <t>Male</t>
        </is>
      </c>
      <c r="F216" t="n">
        <v>35</v>
      </c>
      <c r="G216" t="n">
        <v>9</v>
      </c>
      <c r="H216" t="n">
        <v>116072.5</v>
      </c>
      <c r="I216" t="n">
        <v>4</v>
      </c>
      <c r="J216" t="n">
        <v>0</v>
      </c>
      <c r="K216" t="n">
        <v>0</v>
      </c>
      <c r="L216" t="n">
        <v>19713.43</v>
      </c>
      <c r="M216" t="n">
        <v>0</v>
      </c>
      <c r="O216">
        <f>IF($M216=1,$L216,"")</f>
        <v/>
      </c>
      <c r="P216">
        <f>IF($M216=0,$L216,"")</f>
        <v/>
      </c>
      <c r="R216">
        <f t="array" ref="R216">IFERROR(INDEX($L$2:$L$501,SMALL(IF($M$2:$M$501=1,ROW($M$2:$M$501)-1),ROW()-1)),"")</f>
        <v/>
      </c>
      <c r="S216">
        <f t="array" ref="S216">IFERROR(INDEX($L$2:$L$501,SMALL(IF($M$2:$M$501=0,ROW($M$2:$M$501)-1),ROW()-1)),"")</f>
        <v/>
      </c>
      <c r="U216">
        <f t="array" ref="U216">IFERROR(INDEX($C$2:$C$501,SMALL(IF($D$2:$D$501="France",ROW($D$2:$D$501)-1),ROW()-1)),"")</f>
        <v/>
      </c>
      <c r="V216">
        <f t="array" ref="V216">IFERROR(INDEX($C$2:$C$501,SMALL(IF($D$2:$D$501="Germany",ROW($D$2:$D$501)-1),ROW()-1)),"")</f>
        <v/>
      </c>
      <c r="W216">
        <f t="array" ref="W216">IFERROR(INDEX($C$2:$C$501,SMALL(IF($D$2:$D$501="Spain",ROW($D$2:$D$501)-1),ROW()-1)),"")</f>
        <v/>
      </c>
    </row>
    <row r="217">
      <c r="A217" t="n">
        <v>216</v>
      </c>
      <c r="B217" t="inlineStr">
        <is>
          <t>Jones</t>
        </is>
      </c>
      <c r="C217" t="n">
        <v>360</v>
      </c>
      <c r="D217" t="inlineStr">
        <is>
          <t>Germany</t>
        </is>
      </c>
      <c r="E217" t="inlineStr">
        <is>
          <t>Female</t>
        </is>
      </c>
      <c r="F217" t="n">
        <v>47</v>
      </c>
      <c r="G217" t="n">
        <v>10</v>
      </c>
      <c r="H217" t="n">
        <v>160567.84</v>
      </c>
      <c r="I217" t="n">
        <v>2</v>
      </c>
      <c r="J217" t="n">
        <v>1</v>
      </c>
      <c r="K217" t="n">
        <v>0</v>
      </c>
      <c r="L217" t="n">
        <v>96310.13</v>
      </c>
      <c r="M217" t="n">
        <v>1</v>
      </c>
      <c r="O217">
        <f>IF($M217=1,$L217,"")</f>
        <v/>
      </c>
      <c r="P217">
        <f>IF($M217=0,$L217,"")</f>
        <v/>
      </c>
      <c r="R217">
        <f t="array" ref="R217">IFERROR(INDEX($L$2:$L$501,SMALL(IF($M$2:$M$501=1,ROW($M$2:$M$501)-1),ROW()-1)),"")</f>
        <v/>
      </c>
      <c r="S217">
        <f t="array" ref="S217">IFERROR(INDEX($L$2:$L$501,SMALL(IF($M$2:$M$501=0,ROW($M$2:$M$501)-1),ROW()-1)),"")</f>
        <v/>
      </c>
      <c r="U217">
        <f t="array" ref="U217">IFERROR(INDEX($C$2:$C$501,SMALL(IF($D$2:$D$501="France",ROW($D$2:$D$501)-1),ROW()-1)),"")</f>
        <v/>
      </c>
      <c r="V217">
        <f t="array" ref="V217">IFERROR(INDEX($C$2:$C$501,SMALL(IF($D$2:$D$501="Germany",ROW($D$2:$D$501)-1),ROW()-1)),"")</f>
        <v/>
      </c>
      <c r="W217">
        <f t="array" ref="W217">IFERROR(INDEX($C$2:$C$501,SMALL(IF($D$2:$D$501="Spain",ROW($D$2:$D$501)-1),ROW()-1)),"")</f>
        <v/>
      </c>
    </row>
    <row r="218">
      <c r="A218" t="n">
        <v>217</v>
      </c>
      <c r="B218" t="inlineStr">
        <is>
          <t>Taylor</t>
        </is>
      </c>
      <c r="C218" t="n">
        <v>362</v>
      </c>
      <c r="D218" t="inlineStr">
        <is>
          <t>Spain</t>
        </is>
      </c>
      <c r="E218" t="inlineStr">
        <is>
          <t>Female</t>
        </is>
      </c>
      <c r="F218" t="n">
        <v>52</v>
      </c>
      <c r="G218" t="n">
        <v>0</v>
      </c>
      <c r="H218" t="n">
        <v>146945.31</v>
      </c>
      <c r="I218" t="n">
        <v>4</v>
      </c>
      <c r="J218" t="n">
        <v>1</v>
      </c>
      <c r="K218" t="n">
        <v>0</v>
      </c>
      <c r="L218" t="n">
        <v>125091.68</v>
      </c>
      <c r="M218" t="n">
        <v>0</v>
      </c>
      <c r="O218">
        <f>IF($M218=1,$L218,"")</f>
        <v/>
      </c>
      <c r="P218">
        <f>IF($M218=0,$L218,"")</f>
        <v/>
      </c>
      <c r="R218">
        <f t="array" ref="R218">IFERROR(INDEX($L$2:$L$501,SMALL(IF($M$2:$M$501=1,ROW($M$2:$M$501)-1),ROW()-1)),"")</f>
        <v/>
      </c>
      <c r="S218">
        <f t="array" ref="S218">IFERROR(INDEX($L$2:$L$501,SMALL(IF($M$2:$M$501=0,ROW($M$2:$M$501)-1),ROW()-1)),"")</f>
        <v/>
      </c>
      <c r="U218">
        <f t="array" ref="U218">IFERROR(INDEX($C$2:$C$501,SMALL(IF($D$2:$D$501="France",ROW($D$2:$D$501)-1),ROW()-1)),"")</f>
        <v/>
      </c>
      <c r="V218">
        <f t="array" ref="V218">IFERROR(INDEX($C$2:$C$501,SMALL(IF($D$2:$D$501="Germany",ROW($D$2:$D$501)-1),ROW()-1)),"")</f>
        <v/>
      </c>
      <c r="W218">
        <f t="array" ref="W218">IFERROR(INDEX($C$2:$C$501,SMALL(IF($D$2:$D$501="Spain",ROW($D$2:$D$501)-1),ROW()-1)),"")</f>
        <v/>
      </c>
    </row>
    <row r="219">
      <c r="A219" t="n">
        <v>218</v>
      </c>
      <c r="B219" t="inlineStr">
        <is>
          <t>Wilson</t>
        </is>
      </c>
      <c r="C219" t="n">
        <v>454</v>
      </c>
      <c r="D219" t="inlineStr">
        <is>
          <t>France</t>
        </is>
      </c>
      <c r="E219" t="inlineStr">
        <is>
          <t>Male</t>
        </is>
      </c>
      <c r="F219" t="n">
        <v>77</v>
      </c>
      <c r="G219" t="n">
        <v>1</v>
      </c>
      <c r="H219" t="n">
        <v>183306.47</v>
      </c>
      <c r="I219" t="n">
        <v>1</v>
      </c>
      <c r="J219" t="n">
        <v>1</v>
      </c>
      <c r="K219" t="n">
        <v>1</v>
      </c>
      <c r="L219" t="n">
        <v>134198.83</v>
      </c>
      <c r="M219" t="n">
        <v>1</v>
      </c>
      <c r="O219">
        <f>IF($M219=1,$L219,"")</f>
        <v/>
      </c>
      <c r="P219">
        <f>IF($M219=0,$L219,"")</f>
        <v/>
      </c>
      <c r="R219">
        <f t="array" ref="R219">IFERROR(INDEX($L$2:$L$501,SMALL(IF($M$2:$M$501=1,ROW($M$2:$M$501)-1),ROW()-1)),"")</f>
        <v/>
      </c>
      <c r="S219">
        <f t="array" ref="S219">IFERROR(INDEX($L$2:$L$501,SMALL(IF($M$2:$M$501=0,ROW($M$2:$M$501)-1),ROW()-1)),"")</f>
        <v/>
      </c>
      <c r="U219">
        <f t="array" ref="U219">IFERROR(INDEX($C$2:$C$501,SMALL(IF($D$2:$D$501="France",ROW($D$2:$D$501)-1),ROW()-1)),"")</f>
        <v/>
      </c>
      <c r="V219">
        <f t="array" ref="V219">IFERROR(INDEX($C$2:$C$501,SMALL(IF($D$2:$D$501="Germany",ROW($D$2:$D$501)-1),ROW()-1)),"")</f>
        <v/>
      </c>
      <c r="W219">
        <f t="array" ref="W219">IFERROR(INDEX($C$2:$C$501,SMALL(IF($D$2:$D$501="Spain",ROW($D$2:$D$501)-1),ROW()-1)),"")</f>
        <v/>
      </c>
    </row>
    <row r="220">
      <c r="A220" t="n">
        <v>219</v>
      </c>
      <c r="B220" t="inlineStr">
        <is>
          <t>Wilson</t>
        </is>
      </c>
      <c r="C220" t="n">
        <v>575</v>
      </c>
      <c r="D220" t="inlineStr">
        <is>
          <t>Germany</t>
        </is>
      </c>
      <c r="E220" t="inlineStr">
        <is>
          <t>Female</t>
        </is>
      </c>
      <c r="F220" t="n">
        <v>39</v>
      </c>
      <c r="G220" t="n">
        <v>3</v>
      </c>
      <c r="H220" t="n">
        <v>213911.63</v>
      </c>
      <c r="I220" t="n">
        <v>3</v>
      </c>
      <c r="J220" t="n">
        <v>0</v>
      </c>
      <c r="K220" t="n">
        <v>1</v>
      </c>
      <c r="L220" t="n">
        <v>84036.97</v>
      </c>
      <c r="M220" t="n">
        <v>1</v>
      </c>
      <c r="O220">
        <f>IF($M220=1,$L220,"")</f>
        <v/>
      </c>
      <c r="P220">
        <f>IF($M220=0,$L220,"")</f>
        <v/>
      </c>
      <c r="R220">
        <f t="array" ref="R220">IFERROR(INDEX($L$2:$L$501,SMALL(IF($M$2:$M$501=1,ROW($M$2:$M$501)-1),ROW()-1)),"")</f>
        <v/>
      </c>
      <c r="S220">
        <f t="array" ref="S220">IFERROR(INDEX($L$2:$L$501,SMALL(IF($M$2:$M$501=0,ROW($M$2:$M$501)-1),ROW()-1)),"")</f>
        <v/>
      </c>
      <c r="U220">
        <f t="array" ref="U220">IFERROR(INDEX($C$2:$C$501,SMALL(IF($D$2:$D$501="France",ROW($D$2:$D$501)-1),ROW()-1)),"")</f>
        <v/>
      </c>
      <c r="V220">
        <f t="array" ref="V220">IFERROR(INDEX($C$2:$C$501,SMALL(IF($D$2:$D$501="Germany",ROW($D$2:$D$501)-1),ROW()-1)),"")</f>
        <v/>
      </c>
      <c r="W220">
        <f t="array" ref="W220">IFERROR(INDEX($C$2:$C$501,SMALL(IF($D$2:$D$501="Spain",ROW($D$2:$D$501)-1),ROW()-1)),"")</f>
        <v/>
      </c>
    </row>
    <row r="221">
      <c r="A221" t="n">
        <v>220</v>
      </c>
      <c r="B221" t="inlineStr">
        <is>
          <t>Davis</t>
        </is>
      </c>
      <c r="C221" t="n">
        <v>771</v>
      </c>
      <c r="D221" t="inlineStr">
        <is>
          <t>France</t>
        </is>
      </c>
      <c r="E221" t="inlineStr">
        <is>
          <t>Female</t>
        </is>
      </c>
      <c r="F221" t="n">
        <v>81</v>
      </c>
      <c r="G221" t="n">
        <v>3</v>
      </c>
      <c r="H221" t="n">
        <v>135435.83</v>
      </c>
      <c r="I221" t="n">
        <v>3</v>
      </c>
      <c r="J221" t="n">
        <v>0</v>
      </c>
      <c r="K221" t="n">
        <v>1</v>
      </c>
      <c r="L221" t="n">
        <v>72274.3</v>
      </c>
      <c r="M221" t="n">
        <v>0</v>
      </c>
      <c r="O221">
        <f>IF($M221=1,$L221,"")</f>
        <v/>
      </c>
      <c r="P221">
        <f>IF($M221=0,$L221,"")</f>
        <v/>
      </c>
      <c r="R221">
        <f t="array" ref="R221">IFERROR(INDEX($L$2:$L$501,SMALL(IF($M$2:$M$501=1,ROW($M$2:$M$501)-1),ROW()-1)),"")</f>
        <v/>
      </c>
      <c r="S221">
        <f t="array" ref="S221">IFERROR(INDEX($L$2:$L$501,SMALL(IF($M$2:$M$501=0,ROW($M$2:$M$501)-1),ROW()-1)),"")</f>
        <v/>
      </c>
      <c r="U221">
        <f t="array" ref="U221">IFERROR(INDEX($C$2:$C$501,SMALL(IF($D$2:$D$501="France",ROW($D$2:$D$501)-1),ROW()-1)),"")</f>
        <v/>
      </c>
      <c r="V221">
        <f t="array" ref="V221">IFERROR(INDEX($C$2:$C$501,SMALL(IF($D$2:$D$501="Germany",ROW($D$2:$D$501)-1),ROW()-1)),"")</f>
        <v/>
      </c>
      <c r="W221">
        <f t="array" ref="W221">IFERROR(INDEX($C$2:$C$501,SMALL(IF($D$2:$D$501="Spain",ROW($D$2:$D$501)-1),ROW()-1)),"")</f>
        <v/>
      </c>
    </row>
    <row r="222">
      <c r="A222" t="n">
        <v>221</v>
      </c>
      <c r="B222" t="inlineStr">
        <is>
          <t>Johnson</t>
        </is>
      </c>
      <c r="C222" t="n">
        <v>517</v>
      </c>
      <c r="D222" t="inlineStr">
        <is>
          <t>Spain</t>
        </is>
      </c>
      <c r="E222" t="inlineStr">
        <is>
          <t>Male</t>
        </is>
      </c>
      <c r="F222" t="n">
        <v>35</v>
      </c>
      <c r="G222" t="n">
        <v>1</v>
      </c>
      <c r="H222" t="n">
        <v>239854.9</v>
      </c>
      <c r="I222" t="n">
        <v>1</v>
      </c>
      <c r="J222" t="n">
        <v>1</v>
      </c>
      <c r="K222" t="n">
        <v>1</v>
      </c>
      <c r="L222" t="n">
        <v>99332.87</v>
      </c>
      <c r="M222" t="n">
        <v>0</v>
      </c>
      <c r="O222">
        <f>IF($M222=1,$L222,"")</f>
        <v/>
      </c>
      <c r="P222">
        <f>IF($M222=0,$L222,"")</f>
        <v/>
      </c>
      <c r="R222">
        <f t="array" ref="R222">IFERROR(INDEX($L$2:$L$501,SMALL(IF($M$2:$M$501=1,ROW($M$2:$M$501)-1),ROW()-1)),"")</f>
        <v/>
      </c>
      <c r="S222">
        <f t="array" ref="S222">IFERROR(INDEX($L$2:$L$501,SMALL(IF($M$2:$M$501=0,ROW($M$2:$M$501)-1),ROW()-1)),"")</f>
        <v/>
      </c>
      <c r="U222">
        <f t="array" ref="U222">IFERROR(INDEX($C$2:$C$501,SMALL(IF($D$2:$D$501="France",ROW($D$2:$D$501)-1),ROW()-1)),"")</f>
        <v/>
      </c>
      <c r="V222">
        <f t="array" ref="V222">IFERROR(INDEX($C$2:$C$501,SMALL(IF($D$2:$D$501="Germany",ROW($D$2:$D$501)-1),ROW()-1)),"")</f>
        <v/>
      </c>
      <c r="W222">
        <f t="array" ref="W222">IFERROR(INDEX($C$2:$C$501,SMALL(IF($D$2:$D$501="Spain",ROW($D$2:$D$501)-1),ROW()-1)),"")</f>
        <v/>
      </c>
    </row>
    <row r="223">
      <c r="A223" t="n">
        <v>222</v>
      </c>
      <c r="B223" t="inlineStr">
        <is>
          <t>Williams</t>
        </is>
      </c>
      <c r="C223" t="n">
        <v>766</v>
      </c>
      <c r="D223" t="inlineStr">
        <is>
          <t>Spain</t>
        </is>
      </c>
      <c r="E223" t="inlineStr">
        <is>
          <t>Male</t>
        </is>
      </c>
      <c r="F223" t="n">
        <v>56</v>
      </c>
      <c r="G223" t="n">
        <v>3</v>
      </c>
      <c r="H223" t="n">
        <v>70283.89999999999</v>
      </c>
      <c r="I223" t="n">
        <v>3</v>
      </c>
      <c r="J223" t="n">
        <v>1</v>
      </c>
      <c r="K223" t="n">
        <v>0</v>
      </c>
      <c r="L223" t="n">
        <v>18737.27</v>
      </c>
      <c r="M223" t="n">
        <v>0</v>
      </c>
      <c r="O223">
        <f>IF($M223=1,$L223,"")</f>
        <v/>
      </c>
      <c r="P223">
        <f>IF($M223=0,$L223,"")</f>
        <v/>
      </c>
      <c r="R223">
        <f t="array" ref="R223">IFERROR(INDEX($L$2:$L$501,SMALL(IF($M$2:$M$501=1,ROW($M$2:$M$501)-1),ROW()-1)),"")</f>
        <v/>
      </c>
      <c r="S223">
        <f t="array" ref="S223">IFERROR(INDEX($L$2:$L$501,SMALL(IF($M$2:$M$501=0,ROW($M$2:$M$501)-1),ROW()-1)),"")</f>
        <v/>
      </c>
      <c r="U223">
        <f t="array" ref="U223">IFERROR(INDEX($C$2:$C$501,SMALL(IF($D$2:$D$501="France",ROW($D$2:$D$501)-1),ROW()-1)),"")</f>
        <v/>
      </c>
      <c r="V223">
        <f t="array" ref="V223">IFERROR(INDEX($C$2:$C$501,SMALL(IF($D$2:$D$501="Germany",ROW($D$2:$D$501)-1),ROW()-1)),"")</f>
        <v/>
      </c>
      <c r="W223">
        <f t="array" ref="W223">IFERROR(INDEX($C$2:$C$501,SMALL(IF($D$2:$D$501="Spain",ROW($D$2:$D$501)-1),ROW()-1)),"")</f>
        <v/>
      </c>
    </row>
    <row r="224">
      <c r="A224" t="n">
        <v>223</v>
      </c>
      <c r="B224" t="inlineStr">
        <is>
          <t>Williams</t>
        </is>
      </c>
      <c r="C224" t="n">
        <v>728</v>
      </c>
      <c r="D224" t="inlineStr">
        <is>
          <t>France</t>
        </is>
      </c>
      <c r="E224" t="inlineStr">
        <is>
          <t>Female</t>
        </is>
      </c>
      <c r="F224" t="n">
        <v>19</v>
      </c>
      <c r="G224" t="n">
        <v>4</v>
      </c>
      <c r="H224" t="n">
        <v>16689.2</v>
      </c>
      <c r="I224" t="n">
        <v>3</v>
      </c>
      <c r="J224" t="n">
        <v>1</v>
      </c>
      <c r="K224" t="n">
        <v>1</v>
      </c>
      <c r="L224" t="n">
        <v>141842.12</v>
      </c>
      <c r="M224" t="n">
        <v>1</v>
      </c>
      <c r="O224">
        <f>IF($M224=1,$L224,"")</f>
        <v/>
      </c>
      <c r="P224">
        <f>IF($M224=0,$L224,"")</f>
        <v/>
      </c>
      <c r="R224">
        <f t="array" ref="R224">IFERROR(INDEX($L$2:$L$501,SMALL(IF($M$2:$M$501=1,ROW($M$2:$M$501)-1),ROW()-1)),"")</f>
        <v/>
      </c>
      <c r="S224">
        <f t="array" ref="S224">IFERROR(INDEX($L$2:$L$501,SMALL(IF($M$2:$M$501=0,ROW($M$2:$M$501)-1),ROW()-1)),"")</f>
        <v/>
      </c>
      <c r="U224">
        <f t="array" ref="U224">IFERROR(INDEX($C$2:$C$501,SMALL(IF($D$2:$D$501="France",ROW($D$2:$D$501)-1),ROW()-1)),"")</f>
        <v/>
      </c>
      <c r="V224">
        <f t="array" ref="V224">IFERROR(INDEX($C$2:$C$501,SMALL(IF($D$2:$D$501="Germany",ROW($D$2:$D$501)-1),ROW()-1)),"")</f>
        <v/>
      </c>
      <c r="W224">
        <f t="array" ref="W224">IFERROR(INDEX($C$2:$C$501,SMALL(IF($D$2:$D$501="Spain",ROW($D$2:$D$501)-1),ROW()-1)),"")</f>
        <v/>
      </c>
    </row>
    <row r="225">
      <c r="A225" t="n">
        <v>224</v>
      </c>
      <c r="B225" t="inlineStr">
        <is>
          <t>Moore</t>
        </is>
      </c>
      <c r="C225" t="n">
        <v>639</v>
      </c>
      <c r="D225" t="inlineStr">
        <is>
          <t>Germany</t>
        </is>
      </c>
      <c r="E225" t="inlineStr">
        <is>
          <t>Male</t>
        </is>
      </c>
      <c r="F225" t="n">
        <v>33</v>
      </c>
      <c r="G225" t="n">
        <v>3</v>
      </c>
      <c r="H225" t="n">
        <v>96088.42999999999</v>
      </c>
      <c r="I225" t="n">
        <v>1</v>
      </c>
      <c r="J225" t="n">
        <v>1</v>
      </c>
      <c r="K225" t="n">
        <v>0</v>
      </c>
      <c r="L225" t="n">
        <v>43587.17</v>
      </c>
      <c r="M225" t="n">
        <v>0</v>
      </c>
      <c r="O225">
        <f>IF($M225=1,$L225,"")</f>
        <v/>
      </c>
      <c r="P225">
        <f>IF($M225=0,$L225,"")</f>
        <v/>
      </c>
      <c r="R225">
        <f t="array" ref="R225">IFERROR(INDEX($L$2:$L$501,SMALL(IF($M$2:$M$501=1,ROW($M$2:$M$501)-1),ROW()-1)),"")</f>
        <v/>
      </c>
      <c r="S225">
        <f t="array" ref="S225">IFERROR(INDEX($L$2:$L$501,SMALL(IF($M$2:$M$501=0,ROW($M$2:$M$501)-1),ROW()-1)),"")</f>
        <v/>
      </c>
      <c r="U225">
        <f t="array" ref="U225">IFERROR(INDEX($C$2:$C$501,SMALL(IF($D$2:$D$501="France",ROW($D$2:$D$501)-1),ROW()-1)),"")</f>
        <v/>
      </c>
      <c r="V225">
        <f t="array" ref="V225">IFERROR(INDEX($C$2:$C$501,SMALL(IF($D$2:$D$501="Germany",ROW($D$2:$D$501)-1),ROW()-1)),"")</f>
        <v/>
      </c>
      <c r="W225">
        <f t="array" ref="W225">IFERROR(INDEX($C$2:$C$501,SMALL(IF($D$2:$D$501="Spain",ROW($D$2:$D$501)-1),ROW()-1)),"")</f>
        <v/>
      </c>
    </row>
    <row r="226">
      <c r="A226" t="n">
        <v>225</v>
      </c>
      <c r="B226" t="inlineStr">
        <is>
          <t>Johnson</t>
        </is>
      </c>
      <c r="C226" t="n">
        <v>760</v>
      </c>
      <c r="D226" t="inlineStr">
        <is>
          <t>France</t>
        </is>
      </c>
      <c r="E226" t="inlineStr">
        <is>
          <t>Male</t>
        </is>
      </c>
      <c r="F226" t="n">
        <v>35</v>
      </c>
      <c r="G226" t="n">
        <v>9</v>
      </c>
      <c r="H226" t="n">
        <v>241023.24</v>
      </c>
      <c r="I226" t="n">
        <v>4</v>
      </c>
      <c r="J226" t="n">
        <v>0</v>
      </c>
      <c r="K226" t="n">
        <v>0</v>
      </c>
      <c r="L226" t="n">
        <v>97832.3</v>
      </c>
      <c r="M226" t="n">
        <v>0</v>
      </c>
      <c r="O226">
        <f>IF($M226=1,$L226,"")</f>
        <v/>
      </c>
      <c r="P226">
        <f>IF($M226=0,$L226,"")</f>
        <v/>
      </c>
      <c r="R226">
        <f t="array" ref="R226">IFERROR(INDEX($L$2:$L$501,SMALL(IF($M$2:$M$501=1,ROW($M$2:$M$501)-1),ROW()-1)),"")</f>
        <v/>
      </c>
      <c r="S226">
        <f t="array" ref="S226">IFERROR(INDEX($L$2:$L$501,SMALL(IF($M$2:$M$501=0,ROW($M$2:$M$501)-1),ROW()-1)),"")</f>
        <v/>
      </c>
      <c r="U226">
        <f t="array" ref="U226">IFERROR(INDEX($C$2:$C$501,SMALL(IF($D$2:$D$501="France",ROW($D$2:$D$501)-1),ROW()-1)),"")</f>
        <v/>
      </c>
      <c r="V226">
        <f t="array" ref="V226">IFERROR(INDEX($C$2:$C$501,SMALL(IF($D$2:$D$501="Germany",ROW($D$2:$D$501)-1),ROW()-1)),"")</f>
        <v/>
      </c>
      <c r="W226">
        <f t="array" ref="W226">IFERROR(INDEX($C$2:$C$501,SMALL(IF($D$2:$D$501="Spain",ROW($D$2:$D$501)-1),ROW()-1)),"")</f>
        <v/>
      </c>
    </row>
    <row r="227">
      <c r="A227" t="n">
        <v>226</v>
      </c>
      <c r="B227" t="inlineStr">
        <is>
          <t>Davis</t>
        </is>
      </c>
      <c r="C227" t="n">
        <v>449</v>
      </c>
      <c r="D227" t="inlineStr">
        <is>
          <t>Spain</t>
        </is>
      </c>
      <c r="E227" t="inlineStr">
        <is>
          <t>Male</t>
        </is>
      </c>
      <c r="F227" t="n">
        <v>71</v>
      </c>
      <c r="G227" t="n">
        <v>9</v>
      </c>
      <c r="H227" t="n">
        <v>190983.34</v>
      </c>
      <c r="I227" t="n">
        <v>3</v>
      </c>
      <c r="J227" t="n">
        <v>0</v>
      </c>
      <c r="K227" t="n">
        <v>1</v>
      </c>
      <c r="L227" t="n">
        <v>94496.24000000001</v>
      </c>
      <c r="M227" t="n">
        <v>0</v>
      </c>
      <c r="O227">
        <f>IF($M227=1,$L227,"")</f>
        <v/>
      </c>
      <c r="P227">
        <f>IF($M227=0,$L227,"")</f>
        <v/>
      </c>
      <c r="R227">
        <f t="array" ref="R227">IFERROR(INDEX($L$2:$L$501,SMALL(IF($M$2:$M$501=1,ROW($M$2:$M$501)-1),ROW()-1)),"")</f>
        <v/>
      </c>
      <c r="S227">
        <f t="array" ref="S227">IFERROR(INDEX($L$2:$L$501,SMALL(IF($M$2:$M$501=0,ROW($M$2:$M$501)-1),ROW()-1)),"")</f>
        <v/>
      </c>
      <c r="U227">
        <f t="array" ref="U227">IFERROR(INDEX($C$2:$C$501,SMALL(IF($D$2:$D$501="France",ROW($D$2:$D$501)-1),ROW()-1)),"")</f>
        <v/>
      </c>
      <c r="V227">
        <f t="array" ref="V227">IFERROR(INDEX($C$2:$C$501,SMALL(IF($D$2:$D$501="Germany",ROW($D$2:$D$501)-1),ROW()-1)),"")</f>
        <v/>
      </c>
      <c r="W227">
        <f t="array" ref="W227">IFERROR(INDEX($C$2:$C$501,SMALL(IF($D$2:$D$501="Spain",ROW($D$2:$D$501)-1),ROW()-1)),"")</f>
        <v/>
      </c>
    </row>
    <row r="228">
      <c r="A228" t="n">
        <v>227</v>
      </c>
      <c r="B228" t="inlineStr">
        <is>
          <t>Moore</t>
        </is>
      </c>
      <c r="C228" t="n">
        <v>567</v>
      </c>
      <c r="D228" t="inlineStr">
        <is>
          <t>Spain</t>
        </is>
      </c>
      <c r="E228" t="inlineStr">
        <is>
          <t>Male</t>
        </is>
      </c>
      <c r="F228" t="n">
        <v>40</v>
      </c>
      <c r="G228" t="n">
        <v>5</v>
      </c>
      <c r="H228" t="n">
        <v>49223</v>
      </c>
      <c r="I228" t="n">
        <v>2</v>
      </c>
      <c r="J228" t="n">
        <v>0</v>
      </c>
      <c r="K228" t="n">
        <v>1</v>
      </c>
      <c r="L228" t="n">
        <v>111037.23</v>
      </c>
      <c r="M228" t="n">
        <v>0</v>
      </c>
      <c r="O228">
        <f>IF($M228=1,$L228,"")</f>
        <v/>
      </c>
      <c r="P228">
        <f>IF($M228=0,$L228,"")</f>
        <v/>
      </c>
      <c r="R228">
        <f t="array" ref="R228">IFERROR(INDEX($L$2:$L$501,SMALL(IF($M$2:$M$501=1,ROW($M$2:$M$501)-1),ROW()-1)),"")</f>
        <v/>
      </c>
      <c r="S228">
        <f t="array" ref="S228">IFERROR(INDEX($L$2:$L$501,SMALL(IF($M$2:$M$501=0,ROW($M$2:$M$501)-1),ROW()-1)),"")</f>
        <v/>
      </c>
      <c r="U228">
        <f t="array" ref="U228">IFERROR(INDEX($C$2:$C$501,SMALL(IF($D$2:$D$501="France",ROW($D$2:$D$501)-1),ROW()-1)),"")</f>
        <v/>
      </c>
      <c r="V228">
        <f t="array" ref="V228">IFERROR(INDEX($C$2:$C$501,SMALL(IF($D$2:$D$501="Germany",ROW($D$2:$D$501)-1),ROW()-1)),"")</f>
        <v/>
      </c>
      <c r="W228">
        <f t="array" ref="W228">IFERROR(INDEX($C$2:$C$501,SMALL(IF($D$2:$D$501="Spain",ROW($D$2:$D$501)-1),ROW()-1)),"")</f>
        <v/>
      </c>
    </row>
    <row r="229">
      <c r="A229" t="n">
        <v>228</v>
      </c>
      <c r="B229" t="inlineStr">
        <is>
          <t>Brown</t>
        </is>
      </c>
      <c r="C229" t="n">
        <v>656</v>
      </c>
      <c r="D229" t="inlineStr">
        <is>
          <t>Germany</t>
        </is>
      </c>
      <c r="E229" t="inlineStr">
        <is>
          <t>Male</t>
        </is>
      </c>
      <c r="F229" t="n">
        <v>65</v>
      </c>
      <c r="G229" t="n">
        <v>6</v>
      </c>
      <c r="H229" t="n">
        <v>244926.41</v>
      </c>
      <c r="I229" t="n">
        <v>3</v>
      </c>
      <c r="J229" t="n">
        <v>0</v>
      </c>
      <c r="K229" t="n">
        <v>1</v>
      </c>
      <c r="L229" t="n">
        <v>129494.46</v>
      </c>
      <c r="M229" t="n">
        <v>1</v>
      </c>
      <c r="O229">
        <f>IF($M229=1,$L229,"")</f>
        <v/>
      </c>
      <c r="P229">
        <f>IF($M229=0,$L229,"")</f>
        <v/>
      </c>
      <c r="R229">
        <f t="array" ref="R229">IFERROR(INDEX($L$2:$L$501,SMALL(IF($M$2:$M$501=1,ROW($M$2:$M$501)-1),ROW()-1)),"")</f>
        <v/>
      </c>
      <c r="S229">
        <f t="array" ref="S229">IFERROR(INDEX($L$2:$L$501,SMALL(IF($M$2:$M$501=0,ROW($M$2:$M$501)-1),ROW()-1)),"")</f>
        <v/>
      </c>
      <c r="U229">
        <f t="array" ref="U229">IFERROR(INDEX($C$2:$C$501,SMALL(IF($D$2:$D$501="France",ROW($D$2:$D$501)-1),ROW()-1)),"")</f>
        <v/>
      </c>
      <c r="V229">
        <f t="array" ref="V229">IFERROR(INDEX($C$2:$C$501,SMALL(IF($D$2:$D$501="Germany",ROW($D$2:$D$501)-1),ROW()-1)),"")</f>
        <v/>
      </c>
      <c r="W229">
        <f t="array" ref="W229">IFERROR(INDEX($C$2:$C$501,SMALL(IF($D$2:$D$501="Spain",ROW($D$2:$D$501)-1),ROW()-1)),"")</f>
        <v/>
      </c>
    </row>
    <row r="230">
      <c r="A230" t="n">
        <v>229</v>
      </c>
      <c r="B230" t="inlineStr">
        <is>
          <t>Smith</t>
        </is>
      </c>
      <c r="C230" t="n">
        <v>694</v>
      </c>
      <c r="D230" t="inlineStr">
        <is>
          <t>Spain</t>
        </is>
      </c>
      <c r="E230" t="inlineStr">
        <is>
          <t>Male</t>
        </is>
      </c>
      <c r="F230" t="n">
        <v>84</v>
      </c>
      <c r="G230" t="n">
        <v>8</v>
      </c>
      <c r="H230" t="n">
        <v>175604.34</v>
      </c>
      <c r="I230" t="n">
        <v>4</v>
      </c>
      <c r="J230" t="n">
        <v>0</v>
      </c>
      <c r="K230" t="n">
        <v>1</v>
      </c>
      <c r="L230" t="n">
        <v>45375.97</v>
      </c>
      <c r="M230" t="n">
        <v>1</v>
      </c>
      <c r="O230">
        <f>IF($M230=1,$L230,"")</f>
        <v/>
      </c>
      <c r="P230">
        <f>IF($M230=0,$L230,"")</f>
        <v/>
      </c>
      <c r="R230">
        <f t="array" ref="R230">IFERROR(INDEX($L$2:$L$501,SMALL(IF($M$2:$M$501=1,ROW($M$2:$M$501)-1),ROW()-1)),"")</f>
        <v/>
      </c>
      <c r="S230">
        <f t="array" ref="S230">IFERROR(INDEX($L$2:$L$501,SMALL(IF($M$2:$M$501=0,ROW($M$2:$M$501)-1),ROW()-1)),"")</f>
        <v/>
      </c>
      <c r="U230">
        <f t="array" ref="U230">IFERROR(INDEX($C$2:$C$501,SMALL(IF($D$2:$D$501="France",ROW($D$2:$D$501)-1),ROW()-1)),"")</f>
        <v/>
      </c>
      <c r="V230">
        <f t="array" ref="V230">IFERROR(INDEX($C$2:$C$501,SMALL(IF($D$2:$D$501="Germany",ROW($D$2:$D$501)-1),ROW()-1)),"")</f>
        <v/>
      </c>
      <c r="W230">
        <f t="array" ref="W230">IFERROR(INDEX($C$2:$C$501,SMALL(IF($D$2:$D$501="Spain",ROW($D$2:$D$501)-1),ROW()-1)),"")</f>
        <v/>
      </c>
    </row>
    <row r="231">
      <c r="A231" t="n">
        <v>230</v>
      </c>
      <c r="B231" t="inlineStr">
        <is>
          <t>Williams</t>
        </is>
      </c>
      <c r="C231" t="n">
        <v>560</v>
      </c>
      <c r="D231" t="inlineStr">
        <is>
          <t>Germany</t>
        </is>
      </c>
      <c r="E231" t="inlineStr">
        <is>
          <t>Female</t>
        </is>
      </c>
      <c r="F231" t="n">
        <v>29</v>
      </c>
      <c r="G231" t="n">
        <v>10</v>
      </c>
      <c r="H231" t="n">
        <v>199808.98</v>
      </c>
      <c r="I231" t="n">
        <v>1</v>
      </c>
      <c r="J231" t="n">
        <v>1</v>
      </c>
      <c r="K231" t="n">
        <v>1</v>
      </c>
      <c r="L231" t="n">
        <v>38969.33</v>
      </c>
      <c r="M231" t="n">
        <v>1</v>
      </c>
      <c r="O231">
        <f>IF($M231=1,$L231,"")</f>
        <v/>
      </c>
      <c r="P231">
        <f>IF($M231=0,$L231,"")</f>
        <v/>
      </c>
      <c r="R231">
        <f t="array" ref="R231">IFERROR(INDEX($L$2:$L$501,SMALL(IF($M$2:$M$501=1,ROW($M$2:$M$501)-1),ROW()-1)),"")</f>
        <v/>
      </c>
      <c r="S231">
        <f t="array" ref="S231">IFERROR(INDEX($L$2:$L$501,SMALL(IF($M$2:$M$501=0,ROW($M$2:$M$501)-1),ROW()-1)),"")</f>
        <v/>
      </c>
      <c r="U231">
        <f t="array" ref="U231">IFERROR(INDEX($C$2:$C$501,SMALL(IF($D$2:$D$501="France",ROW($D$2:$D$501)-1),ROW()-1)),"")</f>
        <v/>
      </c>
      <c r="V231">
        <f t="array" ref="V231">IFERROR(INDEX($C$2:$C$501,SMALL(IF($D$2:$D$501="Germany",ROW($D$2:$D$501)-1),ROW()-1)),"")</f>
        <v/>
      </c>
      <c r="W231">
        <f t="array" ref="W231">IFERROR(INDEX($C$2:$C$501,SMALL(IF($D$2:$D$501="Spain",ROW($D$2:$D$501)-1),ROW()-1)),"")</f>
        <v/>
      </c>
    </row>
    <row r="232">
      <c r="A232" t="n">
        <v>231</v>
      </c>
      <c r="B232" t="inlineStr">
        <is>
          <t>Davis</t>
        </is>
      </c>
      <c r="C232" t="n">
        <v>626</v>
      </c>
      <c r="D232" t="inlineStr">
        <is>
          <t>Germany</t>
        </is>
      </c>
      <c r="E232" t="inlineStr">
        <is>
          <t>Male</t>
        </is>
      </c>
      <c r="F232" t="n">
        <v>27</v>
      </c>
      <c r="G232" t="n">
        <v>9</v>
      </c>
      <c r="H232" t="n">
        <v>13467.28</v>
      </c>
      <c r="I232" t="n">
        <v>1</v>
      </c>
      <c r="J232" t="n">
        <v>0</v>
      </c>
      <c r="K232" t="n">
        <v>0</v>
      </c>
      <c r="L232" t="n">
        <v>114472.4</v>
      </c>
      <c r="M232" t="n">
        <v>1</v>
      </c>
      <c r="O232">
        <f>IF($M232=1,$L232,"")</f>
        <v/>
      </c>
      <c r="P232">
        <f>IF($M232=0,$L232,"")</f>
        <v/>
      </c>
      <c r="R232">
        <f t="array" ref="R232">IFERROR(INDEX($L$2:$L$501,SMALL(IF($M$2:$M$501=1,ROW($M$2:$M$501)-1),ROW()-1)),"")</f>
        <v/>
      </c>
      <c r="S232">
        <f t="array" ref="S232">IFERROR(INDEX($L$2:$L$501,SMALL(IF($M$2:$M$501=0,ROW($M$2:$M$501)-1),ROW()-1)),"")</f>
        <v/>
      </c>
      <c r="U232">
        <f t="array" ref="U232">IFERROR(INDEX($C$2:$C$501,SMALL(IF($D$2:$D$501="France",ROW($D$2:$D$501)-1),ROW()-1)),"")</f>
        <v/>
      </c>
      <c r="V232">
        <f t="array" ref="V232">IFERROR(INDEX($C$2:$C$501,SMALL(IF($D$2:$D$501="Germany",ROW($D$2:$D$501)-1),ROW()-1)),"")</f>
        <v/>
      </c>
      <c r="W232">
        <f t="array" ref="W232">IFERROR(INDEX($C$2:$C$501,SMALL(IF($D$2:$D$501="Spain",ROW($D$2:$D$501)-1),ROW()-1)),"")</f>
        <v/>
      </c>
    </row>
    <row r="233">
      <c r="A233" t="n">
        <v>232</v>
      </c>
      <c r="B233" t="inlineStr">
        <is>
          <t>Davis</t>
        </is>
      </c>
      <c r="C233" t="n">
        <v>572</v>
      </c>
      <c r="D233" t="inlineStr">
        <is>
          <t>Germany</t>
        </is>
      </c>
      <c r="E233" t="inlineStr">
        <is>
          <t>Female</t>
        </is>
      </c>
      <c r="F233" t="n">
        <v>58</v>
      </c>
      <c r="G233" t="n">
        <v>5</v>
      </c>
      <c r="H233" t="n">
        <v>180664.35</v>
      </c>
      <c r="I233" t="n">
        <v>1</v>
      </c>
      <c r="J233" t="n">
        <v>1</v>
      </c>
      <c r="K233" t="n">
        <v>1</v>
      </c>
      <c r="L233" t="n">
        <v>36108.42</v>
      </c>
      <c r="M233" t="n">
        <v>0</v>
      </c>
      <c r="O233">
        <f>IF($M233=1,$L233,"")</f>
        <v/>
      </c>
      <c r="P233">
        <f>IF($M233=0,$L233,"")</f>
        <v/>
      </c>
      <c r="R233">
        <f t="array" ref="R233">IFERROR(INDEX($L$2:$L$501,SMALL(IF($M$2:$M$501=1,ROW($M$2:$M$501)-1),ROW()-1)),"")</f>
        <v/>
      </c>
      <c r="S233">
        <f t="array" ref="S233">IFERROR(INDEX($L$2:$L$501,SMALL(IF($M$2:$M$501=0,ROW($M$2:$M$501)-1),ROW()-1)),"")</f>
        <v/>
      </c>
      <c r="U233">
        <f t="array" ref="U233">IFERROR(INDEX($C$2:$C$501,SMALL(IF($D$2:$D$501="France",ROW($D$2:$D$501)-1),ROW()-1)),"")</f>
        <v/>
      </c>
      <c r="V233">
        <f t="array" ref="V233">IFERROR(INDEX($C$2:$C$501,SMALL(IF($D$2:$D$501="Germany",ROW($D$2:$D$501)-1),ROW()-1)),"")</f>
        <v/>
      </c>
      <c r="W233">
        <f t="array" ref="W233">IFERROR(INDEX($C$2:$C$501,SMALL(IF($D$2:$D$501="Spain",ROW($D$2:$D$501)-1),ROW()-1)),"")</f>
        <v/>
      </c>
    </row>
    <row r="234">
      <c r="A234" t="n">
        <v>233</v>
      </c>
      <c r="B234" t="inlineStr">
        <is>
          <t>Smith</t>
        </is>
      </c>
      <c r="C234" t="n">
        <v>506</v>
      </c>
      <c r="D234" t="inlineStr">
        <is>
          <t>Spain</t>
        </is>
      </c>
      <c r="E234" t="inlineStr">
        <is>
          <t>Female</t>
        </is>
      </c>
      <c r="F234" t="n">
        <v>72</v>
      </c>
      <c r="G234" t="n">
        <v>5</v>
      </c>
      <c r="H234" t="n">
        <v>120906.58</v>
      </c>
      <c r="I234" t="n">
        <v>2</v>
      </c>
      <c r="J234" t="n">
        <v>1</v>
      </c>
      <c r="K234" t="n">
        <v>0</v>
      </c>
      <c r="L234" t="n">
        <v>143845.99</v>
      </c>
      <c r="M234" t="n">
        <v>1</v>
      </c>
      <c r="O234">
        <f>IF($M234=1,$L234,"")</f>
        <v/>
      </c>
      <c r="P234">
        <f>IF($M234=0,$L234,"")</f>
        <v/>
      </c>
      <c r="R234">
        <f t="array" ref="R234">IFERROR(INDEX($L$2:$L$501,SMALL(IF($M$2:$M$501=1,ROW($M$2:$M$501)-1),ROW()-1)),"")</f>
        <v/>
      </c>
      <c r="S234">
        <f t="array" ref="S234">IFERROR(INDEX($L$2:$L$501,SMALL(IF($M$2:$M$501=0,ROW($M$2:$M$501)-1),ROW()-1)),"")</f>
        <v/>
      </c>
      <c r="U234">
        <f t="array" ref="U234">IFERROR(INDEX($C$2:$C$501,SMALL(IF($D$2:$D$501="France",ROW($D$2:$D$501)-1),ROW()-1)),"")</f>
        <v/>
      </c>
      <c r="V234">
        <f t="array" ref="V234">IFERROR(INDEX($C$2:$C$501,SMALL(IF($D$2:$D$501="Germany",ROW($D$2:$D$501)-1),ROW()-1)),"")</f>
        <v/>
      </c>
      <c r="W234">
        <f t="array" ref="W234">IFERROR(INDEX($C$2:$C$501,SMALL(IF($D$2:$D$501="Spain",ROW($D$2:$D$501)-1),ROW()-1)),"")</f>
        <v/>
      </c>
    </row>
    <row r="235">
      <c r="A235" t="n">
        <v>234</v>
      </c>
      <c r="B235" t="inlineStr">
        <is>
          <t>Moore</t>
        </is>
      </c>
      <c r="C235" t="n">
        <v>422</v>
      </c>
      <c r="D235" t="inlineStr">
        <is>
          <t>France</t>
        </is>
      </c>
      <c r="E235" t="inlineStr">
        <is>
          <t>Female</t>
        </is>
      </c>
      <c r="F235" t="n">
        <v>69</v>
      </c>
      <c r="G235" t="n">
        <v>8</v>
      </c>
      <c r="H235" t="n">
        <v>198731.58</v>
      </c>
      <c r="I235" t="n">
        <v>3</v>
      </c>
      <c r="J235" t="n">
        <v>1</v>
      </c>
      <c r="K235" t="n">
        <v>0</v>
      </c>
      <c r="L235" t="n">
        <v>37615.84</v>
      </c>
      <c r="M235" t="n">
        <v>1</v>
      </c>
      <c r="O235">
        <f>IF($M235=1,$L235,"")</f>
        <v/>
      </c>
      <c r="P235">
        <f>IF($M235=0,$L235,"")</f>
        <v/>
      </c>
      <c r="R235">
        <f t="array" ref="R235">IFERROR(INDEX($L$2:$L$501,SMALL(IF($M$2:$M$501=1,ROW($M$2:$M$501)-1),ROW()-1)),"")</f>
        <v/>
      </c>
      <c r="S235">
        <f t="array" ref="S235">IFERROR(INDEX($L$2:$L$501,SMALL(IF($M$2:$M$501=0,ROW($M$2:$M$501)-1),ROW()-1)),"")</f>
        <v/>
      </c>
      <c r="U235">
        <f t="array" ref="U235">IFERROR(INDEX($C$2:$C$501,SMALL(IF($D$2:$D$501="France",ROW($D$2:$D$501)-1),ROW()-1)),"")</f>
        <v/>
      </c>
      <c r="V235">
        <f t="array" ref="V235">IFERROR(INDEX($C$2:$C$501,SMALL(IF($D$2:$D$501="Germany",ROW($D$2:$D$501)-1),ROW()-1)),"")</f>
        <v/>
      </c>
      <c r="W235">
        <f t="array" ref="W235">IFERROR(INDEX($C$2:$C$501,SMALL(IF($D$2:$D$501="Spain",ROW($D$2:$D$501)-1),ROW()-1)),"")</f>
        <v/>
      </c>
    </row>
    <row r="236">
      <c r="A236" t="n">
        <v>235</v>
      </c>
      <c r="B236" t="inlineStr">
        <is>
          <t>Johnson</t>
        </is>
      </c>
      <c r="C236" t="n">
        <v>624</v>
      </c>
      <c r="D236" t="inlineStr">
        <is>
          <t>France</t>
        </is>
      </c>
      <c r="E236" t="inlineStr">
        <is>
          <t>Male</t>
        </is>
      </c>
      <c r="F236" t="n">
        <v>65</v>
      </c>
      <c r="G236" t="n">
        <v>4</v>
      </c>
      <c r="H236" t="n">
        <v>179014.43</v>
      </c>
      <c r="I236" t="n">
        <v>1</v>
      </c>
      <c r="J236" t="n">
        <v>1</v>
      </c>
      <c r="K236" t="n">
        <v>0</v>
      </c>
      <c r="L236" t="n">
        <v>83705.74000000001</v>
      </c>
      <c r="M236" t="n">
        <v>1</v>
      </c>
      <c r="O236">
        <f>IF($M236=1,$L236,"")</f>
        <v/>
      </c>
      <c r="P236">
        <f>IF($M236=0,$L236,"")</f>
        <v/>
      </c>
      <c r="R236">
        <f t="array" ref="R236">IFERROR(INDEX($L$2:$L$501,SMALL(IF($M$2:$M$501=1,ROW($M$2:$M$501)-1),ROW()-1)),"")</f>
        <v/>
      </c>
      <c r="S236">
        <f t="array" ref="S236">IFERROR(INDEX($L$2:$L$501,SMALL(IF($M$2:$M$501=0,ROW($M$2:$M$501)-1),ROW()-1)),"")</f>
        <v/>
      </c>
      <c r="U236">
        <f t="array" ref="U236">IFERROR(INDEX($C$2:$C$501,SMALL(IF($D$2:$D$501="France",ROW($D$2:$D$501)-1),ROW()-1)),"")</f>
        <v/>
      </c>
      <c r="V236">
        <f t="array" ref="V236">IFERROR(INDEX($C$2:$C$501,SMALL(IF($D$2:$D$501="Germany",ROW($D$2:$D$501)-1),ROW()-1)),"")</f>
        <v/>
      </c>
      <c r="W236">
        <f t="array" ref="W236">IFERROR(INDEX($C$2:$C$501,SMALL(IF($D$2:$D$501="Spain",ROW($D$2:$D$501)-1),ROW()-1)),"")</f>
        <v/>
      </c>
    </row>
    <row r="237">
      <c r="A237" t="n">
        <v>236</v>
      </c>
      <c r="B237" t="inlineStr">
        <is>
          <t>Johnson</t>
        </is>
      </c>
      <c r="C237" t="n">
        <v>759</v>
      </c>
      <c r="D237" t="inlineStr">
        <is>
          <t>Spain</t>
        </is>
      </c>
      <c r="E237" t="inlineStr">
        <is>
          <t>Male</t>
        </is>
      </c>
      <c r="F237" t="n">
        <v>22</v>
      </c>
      <c r="G237" t="n">
        <v>5</v>
      </c>
      <c r="H237" t="n">
        <v>44104.69</v>
      </c>
      <c r="I237" t="n">
        <v>4</v>
      </c>
      <c r="J237" t="n">
        <v>1</v>
      </c>
      <c r="K237" t="n">
        <v>1</v>
      </c>
      <c r="L237" t="n">
        <v>101878.09</v>
      </c>
      <c r="M237" t="n">
        <v>1</v>
      </c>
      <c r="O237">
        <f>IF($M237=1,$L237,"")</f>
        <v/>
      </c>
      <c r="P237">
        <f>IF($M237=0,$L237,"")</f>
        <v/>
      </c>
      <c r="R237">
        <f t="array" ref="R237">IFERROR(INDEX($L$2:$L$501,SMALL(IF($M$2:$M$501=1,ROW($M$2:$M$501)-1),ROW()-1)),"")</f>
        <v/>
      </c>
      <c r="S237">
        <f t="array" ref="S237">IFERROR(INDEX($L$2:$L$501,SMALL(IF($M$2:$M$501=0,ROW($M$2:$M$501)-1),ROW()-1)),"")</f>
        <v/>
      </c>
      <c r="U237">
        <f t="array" ref="U237">IFERROR(INDEX($C$2:$C$501,SMALL(IF($D$2:$D$501="France",ROW($D$2:$D$501)-1),ROW()-1)),"")</f>
        <v/>
      </c>
      <c r="V237">
        <f t="array" ref="V237">IFERROR(INDEX($C$2:$C$501,SMALL(IF($D$2:$D$501="Germany",ROW($D$2:$D$501)-1),ROW()-1)),"")</f>
        <v/>
      </c>
      <c r="W237">
        <f t="array" ref="W237">IFERROR(INDEX($C$2:$C$501,SMALL(IF($D$2:$D$501="Spain",ROW($D$2:$D$501)-1),ROW()-1)),"")</f>
        <v/>
      </c>
    </row>
    <row r="238">
      <c r="A238" t="n">
        <v>237</v>
      </c>
      <c r="B238" t="inlineStr">
        <is>
          <t>Smith</t>
        </is>
      </c>
      <c r="C238" t="n">
        <v>758</v>
      </c>
      <c r="D238" t="inlineStr">
        <is>
          <t>France</t>
        </is>
      </c>
      <c r="E238" t="inlineStr">
        <is>
          <t>Female</t>
        </is>
      </c>
      <c r="F238" t="n">
        <v>28</v>
      </c>
      <c r="G238" t="n">
        <v>0</v>
      </c>
      <c r="H238" t="n">
        <v>229680.01</v>
      </c>
      <c r="I238" t="n">
        <v>1</v>
      </c>
      <c r="J238" t="n">
        <v>1</v>
      </c>
      <c r="K238" t="n">
        <v>0</v>
      </c>
      <c r="L238" t="n">
        <v>33894.09</v>
      </c>
      <c r="M238" t="n">
        <v>0</v>
      </c>
      <c r="O238">
        <f>IF($M238=1,$L238,"")</f>
        <v/>
      </c>
      <c r="P238">
        <f>IF($M238=0,$L238,"")</f>
        <v/>
      </c>
      <c r="R238">
        <f t="array" ref="R238">IFERROR(INDEX($L$2:$L$501,SMALL(IF($M$2:$M$501=1,ROW($M$2:$M$501)-1),ROW()-1)),"")</f>
        <v/>
      </c>
      <c r="S238">
        <f t="array" ref="S238">IFERROR(INDEX($L$2:$L$501,SMALL(IF($M$2:$M$501=0,ROW($M$2:$M$501)-1),ROW()-1)),"")</f>
        <v/>
      </c>
      <c r="U238">
        <f t="array" ref="U238">IFERROR(INDEX($C$2:$C$501,SMALL(IF($D$2:$D$501="France",ROW($D$2:$D$501)-1),ROW()-1)),"")</f>
        <v/>
      </c>
      <c r="V238">
        <f t="array" ref="V238">IFERROR(INDEX($C$2:$C$501,SMALL(IF($D$2:$D$501="Germany",ROW($D$2:$D$501)-1),ROW()-1)),"")</f>
        <v/>
      </c>
      <c r="W238">
        <f t="array" ref="W238">IFERROR(INDEX($C$2:$C$501,SMALL(IF($D$2:$D$501="Spain",ROW($D$2:$D$501)-1),ROW()-1)),"")</f>
        <v/>
      </c>
    </row>
    <row r="239">
      <c r="A239" t="n">
        <v>238</v>
      </c>
      <c r="B239" t="inlineStr">
        <is>
          <t>Jones</t>
        </is>
      </c>
      <c r="C239" t="n">
        <v>389</v>
      </c>
      <c r="D239" t="inlineStr">
        <is>
          <t>France</t>
        </is>
      </c>
      <c r="E239" t="inlineStr">
        <is>
          <t>Female</t>
        </is>
      </c>
      <c r="F239" t="n">
        <v>24</v>
      </c>
      <c r="G239" t="n">
        <v>3</v>
      </c>
      <c r="H239" t="n">
        <v>144426.62</v>
      </c>
      <c r="I239" t="n">
        <v>1</v>
      </c>
      <c r="J239" t="n">
        <v>1</v>
      </c>
      <c r="K239" t="n">
        <v>0</v>
      </c>
      <c r="L239" t="n">
        <v>64031.99</v>
      </c>
      <c r="M239" t="n">
        <v>0</v>
      </c>
      <c r="O239">
        <f>IF($M239=1,$L239,"")</f>
        <v/>
      </c>
      <c r="P239">
        <f>IF($M239=0,$L239,"")</f>
        <v/>
      </c>
      <c r="R239">
        <f t="array" ref="R239">IFERROR(INDEX($L$2:$L$501,SMALL(IF($M$2:$M$501=1,ROW($M$2:$M$501)-1),ROW()-1)),"")</f>
        <v/>
      </c>
      <c r="S239">
        <f t="array" ref="S239">IFERROR(INDEX($L$2:$L$501,SMALL(IF($M$2:$M$501=0,ROW($M$2:$M$501)-1),ROW()-1)),"")</f>
        <v/>
      </c>
      <c r="U239">
        <f t="array" ref="U239">IFERROR(INDEX($C$2:$C$501,SMALL(IF($D$2:$D$501="France",ROW($D$2:$D$501)-1),ROW()-1)),"")</f>
        <v/>
      </c>
      <c r="V239">
        <f t="array" ref="V239">IFERROR(INDEX($C$2:$C$501,SMALL(IF($D$2:$D$501="Germany",ROW($D$2:$D$501)-1),ROW()-1)),"")</f>
        <v/>
      </c>
      <c r="W239">
        <f t="array" ref="W239">IFERROR(INDEX($C$2:$C$501,SMALL(IF($D$2:$D$501="Spain",ROW($D$2:$D$501)-1),ROW()-1)),"")</f>
        <v/>
      </c>
    </row>
    <row r="240">
      <c r="A240" t="n">
        <v>239</v>
      </c>
      <c r="B240" t="inlineStr">
        <is>
          <t>Moore</t>
        </is>
      </c>
      <c r="C240" t="n">
        <v>584</v>
      </c>
      <c r="D240" t="inlineStr">
        <is>
          <t>Spain</t>
        </is>
      </c>
      <c r="E240" t="inlineStr">
        <is>
          <t>Female</t>
        </is>
      </c>
      <c r="F240" t="n">
        <v>62</v>
      </c>
      <c r="G240" t="n">
        <v>1</v>
      </c>
      <c r="H240" t="n">
        <v>96431.53</v>
      </c>
      <c r="I240" t="n">
        <v>3</v>
      </c>
      <c r="J240" t="n">
        <v>1</v>
      </c>
      <c r="K240" t="n">
        <v>1</v>
      </c>
      <c r="L240" t="n">
        <v>119070.68</v>
      </c>
      <c r="M240" t="n">
        <v>0</v>
      </c>
      <c r="O240">
        <f>IF($M240=1,$L240,"")</f>
        <v/>
      </c>
      <c r="P240">
        <f>IF($M240=0,$L240,"")</f>
        <v/>
      </c>
      <c r="R240">
        <f t="array" ref="R240">IFERROR(INDEX($L$2:$L$501,SMALL(IF($M$2:$M$501=1,ROW($M$2:$M$501)-1),ROW()-1)),"")</f>
        <v/>
      </c>
      <c r="S240">
        <f t="array" ref="S240">IFERROR(INDEX($L$2:$L$501,SMALL(IF($M$2:$M$501=0,ROW($M$2:$M$501)-1),ROW()-1)),"")</f>
        <v/>
      </c>
      <c r="U240">
        <f t="array" ref="U240">IFERROR(INDEX($C$2:$C$501,SMALL(IF($D$2:$D$501="France",ROW($D$2:$D$501)-1),ROW()-1)),"")</f>
        <v/>
      </c>
      <c r="V240">
        <f t="array" ref="V240">IFERROR(INDEX($C$2:$C$501,SMALL(IF($D$2:$D$501="Germany",ROW($D$2:$D$501)-1),ROW()-1)),"")</f>
        <v/>
      </c>
      <c r="W240">
        <f t="array" ref="W240">IFERROR(INDEX($C$2:$C$501,SMALL(IF($D$2:$D$501="Spain",ROW($D$2:$D$501)-1),ROW()-1)),"")</f>
        <v/>
      </c>
    </row>
    <row r="241">
      <c r="A241" t="n">
        <v>240</v>
      </c>
      <c r="B241" t="inlineStr">
        <is>
          <t>Moore</t>
        </is>
      </c>
      <c r="C241" t="n">
        <v>473</v>
      </c>
      <c r="D241" t="inlineStr">
        <is>
          <t>France</t>
        </is>
      </c>
      <c r="E241" t="inlineStr">
        <is>
          <t>Female</t>
        </is>
      </c>
      <c r="F241" t="n">
        <v>90</v>
      </c>
      <c r="G241" t="n">
        <v>6</v>
      </c>
      <c r="H241" t="n">
        <v>56926.6</v>
      </c>
      <c r="I241" t="n">
        <v>3</v>
      </c>
      <c r="J241" t="n">
        <v>0</v>
      </c>
      <c r="K241" t="n">
        <v>0</v>
      </c>
      <c r="L241" t="n">
        <v>52021.75</v>
      </c>
      <c r="M241" t="n">
        <v>1</v>
      </c>
      <c r="O241">
        <f>IF($M241=1,$L241,"")</f>
        <v/>
      </c>
      <c r="P241">
        <f>IF($M241=0,$L241,"")</f>
        <v/>
      </c>
      <c r="R241">
        <f t="array" ref="R241">IFERROR(INDEX($L$2:$L$501,SMALL(IF($M$2:$M$501=1,ROW($M$2:$M$501)-1),ROW()-1)),"")</f>
        <v/>
      </c>
      <c r="S241">
        <f t="array" ref="S241">IFERROR(INDEX($L$2:$L$501,SMALL(IF($M$2:$M$501=0,ROW($M$2:$M$501)-1),ROW()-1)),"")</f>
        <v/>
      </c>
      <c r="U241">
        <f t="array" ref="U241">IFERROR(INDEX($C$2:$C$501,SMALL(IF($D$2:$D$501="France",ROW($D$2:$D$501)-1),ROW()-1)),"")</f>
        <v/>
      </c>
      <c r="V241">
        <f t="array" ref="V241">IFERROR(INDEX($C$2:$C$501,SMALL(IF($D$2:$D$501="Germany",ROW($D$2:$D$501)-1),ROW()-1)),"")</f>
        <v/>
      </c>
      <c r="W241">
        <f t="array" ref="W241">IFERROR(INDEX($C$2:$C$501,SMALL(IF($D$2:$D$501="Spain",ROW($D$2:$D$501)-1),ROW()-1)),"")</f>
        <v/>
      </c>
    </row>
    <row r="242">
      <c r="A242" t="n">
        <v>241</v>
      </c>
      <c r="B242" t="inlineStr">
        <is>
          <t>Brown</t>
        </is>
      </c>
      <c r="C242" t="n">
        <v>634</v>
      </c>
      <c r="D242" t="inlineStr">
        <is>
          <t>Spain</t>
        </is>
      </c>
      <c r="E242" t="inlineStr">
        <is>
          <t>Male</t>
        </is>
      </c>
      <c r="F242" t="n">
        <v>26</v>
      </c>
      <c r="G242" t="n">
        <v>8</v>
      </c>
      <c r="H242" t="n">
        <v>195884.8</v>
      </c>
      <c r="I242" t="n">
        <v>3</v>
      </c>
      <c r="J242" t="n">
        <v>0</v>
      </c>
      <c r="K242" t="n">
        <v>1</v>
      </c>
      <c r="L242" t="n">
        <v>58187.74</v>
      </c>
      <c r="M242" t="n">
        <v>1</v>
      </c>
      <c r="O242">
        <f>IF($M242=1,$L242,"")</f>
        <v/>
      </c>
      <c r="P242">
        <f>IF($M242=0,$L242,"")</f>
        <v/>
      </c>
      <c r="R242">
        <f t="array" ref="R242">IFERROR(INDEX($L$2:$L$501,SMALL(IF($M$2:$M$501=1,ROW($M$2:$M$501)-1),ROW()-1)),"")</f>
        <v/>
      </c>
      <c r="S242">
        <f t="array" ref="S242">IFERROR(INDEX($L$2:$L$501,SMALL(IF($M$2:$M$501=0,ROW($M$2:$M$501)-1),ROW()-1)),"")</f>
        <v/>
      </c>
      <c r="U242">
        <f t="array" ref="U242">IFERROR(INDEX($C$2:$C$501,SMALL(IF($D$2:$D$501="France",ROW($D$2:$D$501)-1),ROW()-1)),"")</f>
        <v/>
      </c>
      <c r="V242">
        <f t="array" ref="V242">IFERROR(INDEX($C$2:$C$501,SMALL(IF($D$2:$D$501="Germany",ROW($D$2:$D$501)-1),ROW()-1)),"")</f>
        <v/>
      </c>
      <c r="W242">
        <f t="array" ref="W242">IFERROR(INDEX($C$2:$C$501,SMALL(IF($D$2:$D$501="Spain",ROW($D$2:$D$501)-1),ROW()-1)),"")</f>
        <v/>
      </c>
    </row>
    <row r="243">
      <c r="A243" t="n">
        <v>242</v>
      </c>
      <c r="B243" t="inlineStr">
        <is>
          <t>Brown</t>
        </is>
      </c>
      <c r="C243" t="n">
        <v>502</v>
      </c>
      <c r="D243" t="inlineStr">
        <is>
          <t>Germany</t>
        </is>
      </c>
      <c r="E243" t="inlineStr">
        <is>
          <t>Female</t>
        </is>
      </c>
      <c r="F243" t="n">
        <v>90</v>
      </c>
      <c r="G243" t="n">
        <v>6</v>
      </c>
      <c r="H243" t="n">
        <v>242675.6</v>
      </c>
      <c r="I243" t="n">
        <v>4</v>
      </c>
      <c r="J243" t="n">
        <v>1</v>
      </c>
      <c r="K243" t="n">
        <v>0</v>
      </c>
      <c r="L243" t="n">
        <v>38576.97</v>
      </c>
      <c r="M243" t="n">
        <v>1</v>
      </c>
      <c r="O243">
        <f>IF($M243=1,$L243,"")</f>
        <v/>
      </c>
      <c r="P243">
        <f>IF($M243=0,$L243,"")</f>
        <v/>
      </c>
      <c r="R243">
        <f t="array" ref="R243">IFERROR(INDEX($L$2:$L$501,SMALL(IF($M$2:$M$501=1,ROW($M$2:$M$501)-1),ROW()-1)),"")</f>
        <v/>
      </c>
      <c r="S243">
        <f t="array" ref="S243">IFERROR(INDEX($L$2:$L$501,SMALL(IF($M$2:$M$501=0,ROW($M$2:$M$501)-1),ROW()-1)),"")</f>
        <v/>
      </c>
      <c r="U243">
        <f t="array" ref="U243">IFERROR(INDEX($C$2:$C$501,SMALL(IF($D$2:$D$501="France",ROW($D$2:$D$501)-1),ROW()-1)),"")</f>
        <v/>
      </c>
      <c r="V243">
        <f t="array" ref="V243">IFERROR(INDEX($C$2:$C$501,SMALL(IF($D$2:$D$501="Germany",ROW($D$2:$D$501)-1),ROW()-1)),"")</f>
        <v/>
      </c>
      <c r="W243">
        <f t="array" ref="W243">IFERROR(INDEX($C$2:$C$501,SMALL(IF($D$2:$D$501="Spain",ROW($D$2:$D$501)-1),ROW()-1)),"")</f>
        <v/>
      </c>
    </row>
    <row r="244">
      <c r="A244" t="n">
        <v>243</v>
      </c>
      <c r="B244" t="inlineStr">
        <is>
          <t>Smith</t>
        </is>
      </c>
      <c r="C244" t="n">
        <v>496</v>
      </c>
      <c r="D244" t="inlineStr">
        <is>
          <t>Germany</t>
        </is>
      </c>
      <c r="E244" t="inlineStr">
        <is>
          <t>Male</t>
        </is>
      </c>
      <c r="F244" t="n">
        <v>36</v>
      </c>
      <c r="G244" t="n">
        <v>3</v>
      </c>
      <c r="H244" t="n">
        <v>183880.09</v>
      </c>
      <c r="I244" t="n">
        <v>3</v>
      </c>
      <c r="J244" t="n">
        <v>1</v>
      </c>
      <c r="K244" t="n">
        <v>1</v>
      </c>
      <c r="L244" t="n">
        <v>116196.88</v>
      </c>
      <c r="M244" t="n">
        <v>0</v>
      </c>
      <c r="O244">
        <f>IF($M244=1,$L244,"")</f>
        <v/>
      </c>
      <c r="P244">
        <f>IF($M244=0,$L244,"")</f>
        <v/>
      </c>
      <c r="R244">
        <f t="array" ref="R244">IFERROR(INDEX($L$2:$L$501,SMALL(IF($M$2:$M$501=1,ROW($M$2:$M$501)-1),ROW()-1)),"")</f>
        <v/>
      </c>
      <c r="S244">
        <f t="array" ref="S244">IFERROR(INDEX($L$2:$L$501,SMALL(IF($M$2:$M$501=0,ROW($M$2:$M$501)-1),ROW()-1)),"")</f>
        <v/>
      </c>
      <c r="U244">
        <f t="array" ref="U244">IFERROR(INDEX($C$2:$C$501,SMALL(IF($D$2:$D$501="France",ROW($D$2:$D$501)-1),ROW()-1)),"")</f>
        <v/>
      </c>
      <c r="V244">
        <f t="array" ref="V244">IFERROR(INDEX($C$2:$C$501,SMALL(IF($D$2:$D$501="Germany",ROW($D$2:$D$501)-1),ROW()-1)),"")</f>
        <v/>
      </c>
      <c r="W244">
        <f t="array" ref="W244">IFERROR(INDEX($C$2:$C$501,SMALL(IF($D$2:$D$501="Spain",ROW($D$2:$D$501)-1),ROW()-1)),"")</f>
        <v/>
      </c>
    </row>
    <row r="245">
      <c r="A245" t="n">
        <v>244</v>
      </c>
      <c r="B245" t="inlineStr">
        <is>
          <t>Taylor</t>
        </is>
      </c>
      <c r="C245" t="n">
        <v>545</v>
      </c>
      <c r="D245" t="inlineStr">
        <is>
          <t>France</t>
        </is>
      </c>
      <c r="E245" t="inlineStr">
        <is>
          <t>Female</t>
        </is>
      </c>
      <c r="F245" t="n">
        <v>20</v>
      </c>
      <c r="G245" t="n">
        <v>4</v>
      </c>
      <c r="H245" t="n">
        <v>152465.9</v>
      </c>
      <c r="I245" t="n">
        <v>3</v>
      </c>
      <c r="J245" t="n">
        <v>1</v>
      </c>
      <c r="K245" t="n">
        <v>1</v>
      </c>
      <c r="L245" t="n">
        <v>43527.09</v>
      </c>
      <c r="M245" t="n">
        <v>0</v>
      </c>
      <c r="O245">
        <f>IF($M245=1,$L245,"")</f>
        <v/>
      </c>
      <c r="P245">
        <f>IF($M245=0,$L245,"")</f>
        <v/>
      </c>
      <c r="R245">
        <f t="array" ref="R245">IFERROR(INDEX($L$2:$L$501,SMALL(IF($M$2:$M$501=1,ROW($M$2:$M$501)-1),ROW()-1)),"")</f>
        <v/>
      </c>
      <c r="S245">
        <f t="array" ref="S245">IFERROR(INDEX($L$2:$L$501,SMALL(IF($M$2:$M$501=0,ROW($M$2:$M$501)-1),ROW()-1)),"")</f>
        <v/>
      </c>
      <c r="U245">
        <f t="array" ref="U245">IFERROR(INDEX($C$2:$C$501,SMALL(IF($D$2:$D$501="France",ROW($D$2:$D$501)-1),ROW()-1)),"")</f>
        <v/>
      </c>
      <c r="V245">
        <f t="array" ref="V245">IFERROR(INDEX($C$2:$C$501,SMALL(IF($D$2:$D$501="Germany",ROW($D$2:$D$501)-1),ROW()-1)),"")</f>
        <v/>
      </c>
      <c r="W245">
        <f t="array" ref="W245">IFERROR(INDEX($C$2:$C$501,SMALL(IF($D$2:$D$501="Spain",ROW($D$2:$D$501)-1),ROW()-1)),"")</f>
        <v/>
      </c>
    </row>
    <row r="246">
      <c r="A246" t="n">
        <v>245</v>
      </c>
      <c r="B246" t="inlineStr">
        <is>
          <t>Jones</t>
        </is>
      </c>
      <c r="C246" t="n">
        <v>522</v>
      </c>
      <c r="D246" t="inlineStr">
        <is>
          <t>Spain</t>
        </is>
      </c>
      <c r="E246" t="inlineStr">
        <is>
          <t>Male</t>
        </is>
      </c>
      <c r="F246" t="n">
        <v>87</v>
      </c>
      <c r="G246" t="n">
        <v>5</v>
      </c>
      <c r="H246" t="n">
        <v>237584.05</v>
      </c>
      <c r="I246" t="n">
        <v>3</v>
      </c>
      <c r="J246" t="n">
        <v>1</v>
      </c>
      <c r="K246" t="n">
        <v>1</v>
      </c>
      <c r="L246" t="n">
        <v>47917.63</v>
      </c>
      <c r="M246" t="n">
        <v>1</v>
      </c>
      <c r="O246">
        <f>IF($M246=1,$L246,"")</f>
        <v/>
      </c>
      <c r="P246">
        <f>IF($M246=0,$L246,"")</f>
        <v/>
      </c>
      <c r="R246">
        <f t="array" ref="R246">IFERROR(INDEX($L$2:$L$501,SMALL(IF($M$2:$M$501=1,ROW($M$2:$M$501)-1),ROW()-1)),"")</f>
        <v/>
      </c>
      <c r="S246">
        <f t="array" ref="S246">IFERROR(INDEX($L$2:$L$501,SMALL(IF($M$2:$M$501=0,ROW($M$2:$M$501)-1),ROW()-1)),"")</f>
        <v/>
      </c>
      <c r="U246">
        <f t="array" ref="U246">IFERROR(INDEX($C$2:$C$501,SMALL(IF($D$2:$D$501="France",ROW($D$2:$D$501)-1),ROW()-1)),"")</f>
        <v/>
      </c>
      <c r="V246">
        <f t="array" ref="V246">IFERROR(INDEX($C$2:$C$501,SMALL(IF($D$2:$D$501="Germany",ROW($D$2:$D$501)-1),ROW()-1)),"")</f>
        <v/>
      </c>
      <c r="W246">
        <f t="array" ref="W246">IFERROR(INDEX($C$2:$C$501,SMALL(IF($D$2:$D$501="Spain",ROW($D$2:$D$501)-1),ROW()-1)),"")</f>
        <v/>
      </c>
    </row>
    <row r="247">
      <c r="A247" t="n">
        <v>246</v>
      </c>
      <c r="B247" t="inlineStr">
        <is>
          <t>Wilson</t>
        </is>
      </c>
      <c r="C247" t="n">
        <v>561</v>
      </c>
      <c r="D247" t="inlineStr">
        <is>
          <t>Germany</t>
        </is>
      </c>
      <c r="E247" t="inlineStr">
        <is>
          <t>Male</t>
        </is>
      </c>
      <c r="F247" t="n">
        <v>47</v>
      </c>
      <c r="G247" t="n">
        <v>8</v>
      </c>
      <c r="H247" t="n">
        <v>177892.9</v>
      </c>
      <c r="I247" t="n">
        <v>1</v>
      </c>
      <c r="J247" t="n">
        <v>0</v>
      </c>
      <c r="K247" t="n">
        <v>0</v>
      </c>
      <c r="L247" t="n">
        <v>78723.14999999999</v>
      </c>
      <c r="M247" t="n">
        <v>1</v>
      </c>
      <c r="O247">
        <f>IF($M247=1,$L247,"")</f>
        <v/>
      </c>
      <c r="P247">
        <f>IF($M247=0,$L247,"")</f>
        <v/>
      </c>
      <c r="R247">
        <f t="array" ref="R247">IFERROR(INDEX($L$2:$L$501,SMALL(IF($M$2:$M$501=1,ROW($M$2:$M$501)-1),ROW()-1)),"")</f>
        <v/>
      </c>
      <c r="S247">
        <f t="array" ref="S247">IFERROR(INDEX($L$2:$L$501,SMALL(IF($M$2:$M$501=0,ROW($M$2:$M$501)-1),ROW()-1)),"")</f>
        <v/>
      </c>
      <c r="U247">
        <f t="array" ref="U247">IFERROR(INDEX($C$2:$C$501,SMALL(IF($D$2:$D$501="France",ROW($D$2:$D$501)-1),ROW()-1)),"")</f>
        <v/>
      </c>
      <c r="V247">
        <f t="array" ref="V247">IFERROR(INDEX($C$2:$C$501,SMALL(IF($D$2:$D$501="Germany",ROW($D$2:$D$501)-1),ROW()-1)),"")</f>
        <v/>
      </c>
      <c r="W247">
        <f t="array" ref="W247">IFERROR(INDEX($C$2:$C$501,SMALL(IF($D$2:$D$501="Spain",ROW($D$2:$D$501)-1),ROW()-1)),"")</f>
        <v/>
      </c>
    </row>
    <row r="248">
      <c r="A248" t="n">
        <v>247</v>
      </c>
      <c r="B248" t="inlineStr">
        <is>
          <t>Jones</t>
        </is>
      </c>
      <c r="C248" t="n">
        <v>651</v>
      </c>
      <c r="D248" t="inlineStr">
        <is>
          <t>Spain</t>
        </is>
      </c>
      <c r="E248" t="inlineStr">
        <is>
          <t>Female</t>
        </is>
      </c>
      <c r="F248" t="n">
        <v>45</v>
      </c>
      <c r="G248" t="n">
        <v>2</v>
      </c>
      <c r="H248" t="n">
        <v>114118.16</v>
      </c>
      <c r="I248" t="n">
        <v>4</v>
      </c>
      <c r="J248" t="n">
        <v>0</v>
      </c>
      <c r="K248" t="n">
        <v>0</v>
      </c>
      <c r="L248" t="n">
        <v>36850.7</v>
      </c>
      <c r="M248" t="n">
        <v>0</v>
      </c>
      <c r="O248">
        <f>IF($M248=1,$L248,"")</f>
        <v/>
      </c>
      <c r="P248">
        <f>IF($M248=0,$L248,"")</f>
        <v/>
      </c>
      <c r="R248">
        <f t="array" ref="R248">IFERROR(INDEX($L$2:$L$501,SMALL(IF($M$2:$M$501=1,ROW($M$2:$M$501)-1),ROW()-1)),"")</f>
        <v/>
      </c>
      <c r="S248">
        <f t="array" ref="S248">IFERROR(INDEX($L$2:$L$501,SMALL(IF($M$2:$M$501=0,ROW($M$2:$M$501)-1),ROW()-1)),"")</f>
        <v/>
      </c>
      <c r="U248">
        <f t="array" ref="U248">IFERROR(INDEX($C$2:$C$501,SMALL(IF($D$2:$D$501="France",ROW($D$2:$D$501)-1),ROW()-1)),"")</f>
        <v/>
      </c>
      <c r="V248">
        <f t="array" ref="V248">IFERROR(INDEX($C$2:$C$501,SMALL(IF($D$2:$D$501="Germany",ROW($D$2:$D$501)-1),ROW()-1)),"")</f>
        <v/>
      </c>
      <c r="W248">
        <f t="array" ref="W248">IFERROR(INDEX($C$2:$C$501,SMALL(IF($D$2:$D$501="Spain",ROW($D$2:$D$501)-1),ROW()-1)),"")</f>
        <v/>
      </c>
    </row>
    <row r="249">
      <c r="A249" t="n">
        <v>248</v>
      </c>
      <c r="B249" t="inlineStr">
        <is>
          <t>Williams</t>
        </is>
      </c>
      <c r="C249" t="n">
        <v>660</v>
      </c>
      <c r="D249" t="inlineStr">
        <is>
          <t>Spain</t>
        </is>
      </c>
      <c r="E249" t="inlineStr">
        <is>
          <t>Female</t>
        </is>
      </c>
      <c r="F249" t="n">
        <v>35</v>
      </c>
      <c r="G249" t="n">
        <v>9</v>
      </c>
      <c r="H249" t="n">
        <v>80413.46000000001</v>
      </c>
      <c r="I249" t="n">
        <v>2</v>
      </c>
      <c r="J249" t="n">
        <v>0</v>
      </c>
      <c r="K249" t="n">
        <v>1</v>
      </c>
      <c r="L249" t="n">
        <v>42147.48</v>
      </c>
      <c r="M249" t="n">
        <v>0</v>
      </c>
      <c r="O249">
        <f>IF($M249=1,$L249,"")</f>
        <v/>
      </c>
      <c r="P249">
        <f>IF($M249=0,$L249,"")</f>
        <v/>
      </c>
      <c r="R249">
        <f t="array" ref="R249">IFERROR(INDEX($L$2:$L$501,SMALL(IF($M$2:$M$501=1,ROW($M$2:$M$501)-1),ROW()-1)),"")</f>
        <v/>
      </c>
      <c r="S249">
        <f t="array" ref="S249">IFERROR(INDEX($L$2:$L$501,SMALL(IF($M$2:$M$501=0,ROW($M$2:$M$501)-1),ROW()-1)),"")</f>
        <v/>
      </c>
      <c r="U249">
        <f t="array" ref="U249">IFERROR(INDEX($C$2:$C$501,SMALL(IF($D$2:$D$501="France",ROW($D$2:$D$501)-1),ROW()-1)),"")</f>
        <v/>
      </c>
      <c r="V249">
        <f t="array" ref="V249">IFERROR(INDEX($C$2:$C$501,SMALL(IF($D$2:$D$501="Germany",ROW($D$2:$D$501)-1),ROW()-1)),"")</f>
        <v/>
      </c>
      <c r="W249">
        <f t="array" ref="W249">IFERROR(INDEX($C$2:$C$501,SMALL(IF($D$2:$D$501="Spain",ROW($D$2:$D$501)-1),ROW()-1)),"")</f>
        <v/>
      </c>
    </row>
    <row r="250">
      <c r="A250" t="n">
        <v>249</v>
      </c>
      <c r="B250" t="inlineStr">
        <is>
          <t>Johnson</t>
        </is>
      </c>
      <c r="C250" t="n">
        <v>350</v>
      </c>
      <c r="D250" t="inlineStr">
        <is>
          <t>Spain</t>
        </is>
      </c>
      <c r="E250" t="inlineStr">
        <is>
          <t>Female</t>
        </is>
      </c>
      <c r="F250" t="n">
        <v>76</v>
      </c>
      <c r="G250" t="n">
        <v>3</v>
      </c>
      <c r="H250" t="n">
        <v>47176.34</v>
      </c>
      <c r="I250" t="n">
        <v>4</v>
      </c>
      <c r="J250" t="n">
        <v>1</v>
      </c>
      <c r="K250" t="n">
        <v>1</v>
      </c>
      <c r="L250" t="n">
        <v>139671.97</v>
      </c>
      <c r="M250" t="n">
        <v>0</v>
      </c>
      <c r="O250">
        <f>IF($M250=1,$L250,"")</f>
        <v/>
      </c>
      <c r="P250">
        <f>IF($M250=0,$L250,"")</f>
        <v/>
      </c>
      <c r="R250">
        <f t="array" ref="R250">IFERROR(INDEX($L$2:$L$501,SMALL(IF($M$2:$M$501=1,ROW($M$2:$M$501)-1),ROW()-1)),"")</f>
        <v/>
      </c>
      <c r="S250">
        <f t="array" ref="S250">IFERROR(INDEX($L$2:$L$501,SMALL(IF($M$2:$M$501=0,ROW($M$2:$M$501)-1),ROW()-1)),"")</f>
        <v/>
      </c>
      <c r="U250">
        <f t="array" ref="U250">IFERROR(INDEX($C$2:$C$501,SMALL(IF($D$2:$D$501="France",ROW($D$2:$D$501)-1),ROW()-1)),"")</f>
        <v/>
      </c>
      <c r="V250">
        <f t="array" ref="V250">IFERROR(INDEX($C$2:$C$501,SMALL(IF($D$2:$D$501="Germany",ROW($D$2:$D$501)-1),ROW()-1)),"")</f>
        <v/>
      </c>
      <c r="W250">
        <f t="array" ref="W250">IFERROR(INDEX($C$2:$C$501,SMALL(IF($D$2:$D$501="Spain",ROW($D$2:$D$501)-1),ROW()-1)),"")</f>
        <v/>
      </c>
    </row>
    <row r="251">
      <c r="A251" t="n">
        <v>250</v>
      </c>
      <c r="B251" t="inlineStr">
        <is>
          <t>Johnson</t>
        </is>
      </c>
      <c r="C251" t="n">
        <v>488</v>
      </c>
      <c r="D251" t="inlineStr">
        <is>
          <t>France</t>
        </is>
      </c>
      <c r="E251" t="inlineStr">
        <is>
          <t>Female</t>
        </is>
      </c>
      <c r="F251" t="n">
        <v>29</v>
      </c>
      <c r="G251" t="n">
        <v>2</v>
      </c>
      <c r="H251" t="n">
        <v>218420.19</v>
      </c>
      <c r="I251" t="n">
        <v>1</v>
      </c>
      <c r="J251" t="n">
        <v>1</v>
      </c>
      <c r="K251" t="n">
        <v>0</v>
      </c>
      <c r="L251" t="n">
        <v>122291.38</v>
      </c>
      <c r="M251" t="n">
        <v>0</v>
      </c>
      <c r="O251">
        <f>IF($M251=1,$L251,"")</f>
        <v/>
      </c>
      <c r="P251">
        <f>IF($M251=0,$L251,"")</f>
        <v/>
      </c>
      <c r="R251">
        <f t="array" ref="R251">IFERROR(INDEX($L$2:$L$501,SMALL(IF($M$2:$M$501=1,ROW($M$2:$M$501)-1),ROW()-1)),"")</f>
        <v/>
      </c>
      <c r="S251">
        <f t="array" ref="S251">IFERROR(INDEX($L$2:$L$501,SMALL(IF($M$2:$M$501=0,ROW($M$2:$M$501)-1),ROW()-1)),"")</f>
        <v/>
      </c>
      <c r="U251">
        <f t="array" ref="U251">IFERROR(INDEX($C$2:$C$501,SMALL(IF($D$2:$D$501="France",ROW($D$2:$D$501)-1),ROW()-1)),"")</f>
        <v/>
      </c>
      <c r="V251">
        <f t="array" ref="V251">IFERROR(INDEX($C$2:$C$501,SMALL(IF($D$2:$D$501="Germany",ROW($D$2:$D$501)-1),ROW()-1)),"")</f>
        <v/>
      </c>
      <c r="W251">
        <f t="array" ref="W251">IFERROR(INDEX($C$2:$C$501,SMALL(IF($D$2:$D$501="Spain",ROW($D$2:$D$501)-1),ROW()-1)),"")</f>
        <v/>
      </c>
    </row>
    <row r="252">
      <c r="A252" t="n">
        <v>251</v>
      </c>
      <c r="B252" t="inlineStr">
        <is>
          <t>Williams</t>
        </is>
      </c>
      <c r="C252" t="n">
        <v>545</v>
      </c>
      <c r="D252" t="inlineStr">
        <is>
          <t>Germany</t>
        </is>
      </c>
      <c r="E252" t="inlineStr">
        <is>
          <t>Male</t>
        </is>
      </c>
      <c r="F252" t="n">
        <v>67</v>
      </c>
      <c r="G252" t="n">
        <v>9</v>
      </c>
      <c r="H252" t="n">
        <v>180722.3</v>
      </c>
      <c r="I252" t="n">
        <v>2</v>
      </c>
      <c r="J252" t="n">
        <v>1</v>
      </c>
      <c r="K252" t="n">
        <v>1</v>
      </c>
      <c r="L252" t="n">
        <v>47605.64</v>
      </c>
      <c r="M252" t="n">
        <v>0</v>
      </c>
      <c r="O252">
        <f>IF($M252=1,$L252,"")</f>
        <v/>
      </c>
      <c r="P252">
        <f>IF($M252=0,$L252,"")</f>
        <v/>
      </c>
      <c r="R252">
        <f t="array" ref="R252">IFERROR(INDEX($L$2:$L$501,SMALL(IF($M$2:$M$501=1,ROW($M$2:$M$501)-1),ROW()-1)),"")</f>
        <v/>
      </c>
      <c r="S252">
        <f t="array" ref="S252">IFERROR(INDEX($L$2:$L$501,SMALL(IF($M$2:$M$501=0,ROW($M$2:$M$501)-1),ROW()-1)),"")</f>
        <v/>
      </c>
      <c r="U252">
        <f t="array" ref="U252">IFERROR(INDEX($C$2:$C$501,SMALL(IF($D$2:$D$501="France",ROW($D$2:$D$501)-1),ROW()-1)),"")</f>
        <v/>
      </c>
      <c r="V252">
        <f t="array" ref="V252">IFERROR(INDEX($C$2:$C$501,SMALL(IF($D$2:$D$501="Germany",ROW($D$2:$D$501)-1),ROW()-1)),"")</f>
        <v/>
      </c>
      <c r="W252">
        <f t="array" ref="W252">IFERROR(INDEX($C$2:$C$501,SMALL(IF($D$2:$D$501="Spain",ROW($D$2:$D$501)-1),ROW()-1)),"")</f>
        <v/>
      </c>
    </row>
    <row r="253">
      <c r="A253" t="n">
        <v>252</v>
      </c>
      <c r="B253" t="inlineStr">
        <is>
          <t>Johnson</t>
        </is>
      </c>
      <c r="C253" t="n">
        <v>740</v>
      </c>
      <c r="D253" t="inlineStr">
        <is>
          <t>France</t>
        </is>
      </c>
      <c r="E253" t="inlineStr">
        <is>
          <t>Male</t>
        </is>
      </c>
      <c r="F253" t="n">
        <v>90</v>
      </c>
      <c r="G253" t="n">
        <v>1</v>
      </c>
      <c r="H253" t="n">
        <v>244519.73</v>
      </c>
      <c r="I253" t="n">
        <v>4</v>
      </c>
      <c r="J253" t="n">
        <v>0</v>
      </c>
      <c r="K253" t="n">
        <v>1</v>
      </c>
      <c r="L253" t="n">
        <v>107875.29</v>
      </c>
      <c r="M253" t="n">
        <v>0</v>
      </c>
      <c r="O253">
        <f>IF($M253=1,$L253,"")</f>
        <v/>
      </c>
      <c r="P253">
        <f>IF($M253=0,$L253,"")</f>
        <v/>
      </c>
      <c r="R253">
        <f t="array" ref="R253">IFERROR(INDEX($L$2:$L$501,SMALL(IF($M$2:$M$501=1,ROW($M$2:$M$501)-1),ROW()-1)),"")</f>
        <v/>
      </c>
      <c r="S253">
        <f t="array" ref="S253">IFERROR(INDEX($L$2:$L$501,SMALL(IF($M$2:$M$501=0,ROW($M$2:$M$501)-1),ROW()-1)),"")</f>
        <v/>
      </c>
      <c r="U253">
        <f t="array" ref="U253">IFERROR(INDEX($C$2:$C$501,SMALL(IF($D$2:$D$501="France",ROW($D$2:$D$501)-1),ROW()-1)),"")</f>
        <v/>
      </c>
      <c r="V253">
        <f t="array" ref="V253">IFERROR(INDEX($C$2:$C$501,SMALL(IF($D$2:$D$501="Germany",ROW($D$2:$D$501)-1),ROW()-1)),"")</f>
        <v/>
      </c>
      <c r="W253">
        <f t="array" ref="W253">IFERROR(INDEX($C$2:$C$501,SMALL(IF($D$2:$D$501="Spain",ROW($D$2:$D$501)-1),ROW()-1)),"")</f>
        <v/>
      </c>
    </row>
    <row r="254">
      <c r="A254" t="n">
        <v>253</v>
      </c>
      <c r="B254" t="inlineStr">
        <is>
          <t>Brown</t>
        </is>
      </c>
      <c r="C254" t="n">
        <v>569</v>
      </c>
      <c r="D254" t="inlineStr">
        <is>
          <t>Spain</t>
        </is>
      </c>
      <c r="E254" t="inlineStr">
        <is>
          <t>Male</t>
        </is>
      </c>
      <c r="F254" t="n">
        <v>21</v>
      </c>
      <c r="G254" t="n">
        <v>1</v>
      </c>
      <c r="H254" t="n">
        <v>18800.85</v>
      </c>
      <c r="I254" t="n">
        <v>1</v>
      </c>
      <c r="J254" t="n">
        <v>0</v>
      </c>
      <c r="K254" t="n">
        <v>0</v>
      </c>
      <c r="L254" t="n">
        <v>60995.52</v>
      </c>
      <c r="M254" t="n">
        <v>1</v>
      </c>
      <c r="O254">
        <f>IF($M254=1,$L254,"")</f>
        <v/>
      </c>
      <c r="P254">
        <f>IF($M254=0,$L254,"")</f>
        <v/>
      </c>
      <c r="R254">
        <f t="array" ref="R254">IFERROR(INDEX($L$2:$L$501,SMALL(IF($M$2:$M$501=1,ROW($M$2:$M$501)-1),ROW()-1)),"")</f>
        <v/>
      </c>
      <c r="S254">
        <f t="array" ref="S254">IFERROR(INDEX($L$2:$L$501,SMALL(IF($M$2:$M$501=0,ROW($M$2:$M$501)-1),ROW()-1)),"")</f>
        <v/>
      </c>
      <c r="U254">
        <f t="array" ref="U254">IFERROR(INDEX($C$2:$C$501,SMALL(IF($D$2:$D$501="France",ROW($D$2:$D$501)-1),ROW()-1)),"")</f>
        <v/>
      </c>
      <c r="V254">
        <f t="array" ref="V254">IFERROR(INDEX($C$2:$C$501,SMALL(IF($D$2:$D$501="Germany",ROW($D$2:$D$501)-1),ROW()-1)),"")</f>
        <v/>
      </c>
      <c r="W254">
        <f t="array" ref="W254">IFERROR(INDEX($C$2:$C$501,SMALL(IF($D$2:$D$501="Spain",ROW($D$2:$D$501)-1),ROW()-1)),"")</f>
        <v/>
      </c>
    </row>
    <row r="255">
      <c r="A255" t="n">
        <v>254</v>
      </c>
      <c r="B255" t="inlineStr">
        <is>
          <t>Williams</t>
        </is>
      </c>
      <c r="C255" t="n">
        <v>705</v>
      </c>
      <c r="D255" t="inlineStr">
        <is>
          <t>Germany</t>
        </is>
      </c>
      <c r="E255" t="inlineStr">
        <is>
          <t>Male</t>
        </is>
      </c>
      <c r="F255" t="n">
        <v>29</v>
      </c>
      <c r="G255" t="n">
        <v>10</v>
      </c>
      <c r="H255" t="n">
        <v>78681.00999999999</v>
      </c>
      <c r="I255" t="n">
        <v>1</v>
      </c>
      <c r="J255" t="n">
        <v>0</v>
      </c>
      <c r="K255" t="n">
        <v>0</v>
      </c>
      <c r="L255" t="n">
        <v>69503.59</v>
      </c>
      <c r="M255" t="n">
        <v>0</v>
      </c>
      <c r="O255">
        <f>IF($M255=1,$L255,"")</f>
        <v/>
      </c>
      <c r="P255">
        <f>IF($M255=0,$L255,"")</f>
        <v/>
      </c>
      <c r="R255">
        <f t="array" ref="R255">IFERROR(INDEX($L$2:$L$501,SMALL(IF($M$2:$M$501=1,ROW($M$2:$M$501)-1),ROW()-1)),"")</f>
        <v/>
      </c>
      <c r="S255">
        <f t="array" ref="S255">IFERROR(INDEX($L$2:$L$501,SMALL(IF($M$2:$M$501=0,ROW($M$2:$M$501)-1),ROW()-1)),"")</f>
        <v/>
      </c>
      <c r="U255">
        <f t="array" ref="U255">IFERROR(INDEX($C$2:$C$501,SMALL(IF($D$2:$D$501="France",ROW($D$2:$D$501)-1),ROW()-1)),"")</f>
        <v/>
      </c>
      <c r="V255">
        <f t="array" ref="V255">IFERROR(INDEX($C$2:$C$501,SMALL(IF($D$2:$D$501="Germany",ROW($D$2:$D$501)-1),ROW()-1)),"")</f>
        <v/>
      </c>
      <c r="W255">
        <f t="array" ref="W255">IFERROR(INDEX($C$2:$C$501,SMALL(IF($D$2:$D$501="Spain",ROW($D$2:$D$501)-1),ROW()-1)),"")</f>
        <v/>
      </c>
    </row>
    <row r="256">
      <c r="A256" t="n">
        <v>255</v>
      </c>
      <c r="B256" t="inlineStr">
        <is>
          <t>Davis</t>
        </is>
      </c>
      <c r="C256" t="n">
        <v>791</v>
      </c>
      <c r="D256" t="inlineStr">
        <is>
          <t>France</t>
        </is>
      </c>
      <c r="E256" t="inlineStr">
        <is>
          <t>Male</t>
        </is>
      </c>
      <c r="F256" t="n">
        <v>75</v>
      </c>
      <c r="G256" t="n">
        <v>8</v>
      </c>
      <c r="H256" t="n">
        <v>101615.64</v>
      </c>
      <c r="I256" t="n">
        <v>2</v>
      </c>
      <c r="J256" t="n">
        <v>1</v>
      </c>
      <c r="K256" t="n">
        <v>0</v>
      </c>
      <c r="L256" t="n">
        <v>108820.32</v>
      </c>
      <c r="M256" t="n">
        <v>1</v>
      </c>
      <c r="O256">
        <f>IF($M256=1,$L256,"")</f>
        <v/>
      </c>
      <c r="P256">
        <f>IF($M256=0,$L256,"")</f>
        <v/>
      </c>
      <c r="R256">
        <f t="array" ref="R256">IFERROR(INDEX($L$2:$L$501,SMALL(IF($M$2:$M$501=1,ROW($M$2:$M$501)-1),ROW()-1)),"")</f>
        <v/>
      </c>
      <c r="S256">
        <f t="array" ref="S256">IFERROR(INDEX($L$2:$L$501,SMALL(IF($M$2:$M$501=0,ROW($M$2:$M$501)-1),ROW()-1)),"")</f>
        <v/>
      </c>
      <c r="U256">
        <f t="array" ref="U256">IFERROR(INDEX($C$2:$C$501,SMALL(IF($D$2:$D$501="France",ROW($D$2:$D$501)-1),ROW()-1)),"")</f>
        <v/>
      </c>
      <c r="V256">
        <f t="array" ref="V256">IFERROR(INDEX($C$2:$C$501,SMALL(IF($D$2:$D$501="Germany",ROW($D$2:$D$501)-1),ROW()-1)),"")</f>
        <v/>
      </c>
      <c r="W256">
        <f t="array" ref="W256">IFERROR(INDEX($C$2:$C$501,SMALL(IF($D$2:$D$501="Spain",ROW($D$2:$D$501)-1),ROW()-1)),"")</f>
        <v/>
      </c>
    </row>
    <row r="257">
      <c r="A257" t="n">
        <v>256</v>
      </c>
      <c r="B257" t="inlineStr">
        <is>
          <t>Davis</t>
        </is>
      </c>
      <c r="C257" t="n">
        <v>804</v>
      </c>
      <c r="D257" t="inlineStr">
        <is>
          <t>Germany</t>
        </is>
      </c>
      <c r="E257" t="inlineStr">
        <is>
          <t>Female</t>
        </is>
      </c>
      <c r="F257" t="n">
        <v>68</v>
      </c>
      <c r="G257" t="n">
        <v>10</v>
      </c>
      <c r="H257" t="n">
        <v>240635.59</v>
      </c>
      <c r="I257" t="n">
        <v>1</v>
      </c>
      <c r="J257" t="n">
        <v>0</v>
      </c>
      <c r="K257" t="n">
        <v>0</v>
      </c>
      <c r="L257" t="n">
        <v>122764.08</v>
      </c>
      <c r="M257" t="n">
        <v>0</v>
      </c>
      <c r="O257">
        <f>IF($M257=1,$L257,"")</f>
        <v/>
      </c>
      <c r="P257">
        <f>IF($M257=0,$L257,"")</f>
        <v/>
      </c>
      <c r="R257">
        <f t="array" ref="R257">IFERROR(INDEX($L$2:$L$501,SMALL(IF($M$2:$M$501=1,ROW($M$2:$M$501)-1),ROW()-1)),"")</f>
        <v/>
      </c>
      <c r="S257">
        <f t="array" ref="S257">IFERROR(INDEX($L$2:$L$501,SMALL(IF($M$2:$M$501=0,ROW($M$2:$M$501)-1),ROW()-1)),"")</f>
        <v/>
      </c>
      <c r="U257">
        <f t="array" ref="U257">IFERROR(INDEX($C$2:$C$501,SMALL(IF($D$2:$D$501="France",ROW($D$2:$D$501)-1),ROW()-1)),"")</f>
        <v/>
      </c>
      <c r="V257">
        <f t="array" ref="V257">IFERROR(INDEX($C$2:$C$501,SMALL(IF($D$2:$D$501="Germany",ROW($D$2:$D$501)-1),ROW()-1)),"")</f>
        <v/>
      </c>
      <c r="W257">
        <f t="array" ref="W257">IFERROR(INDEX($C$2:$C$501,SMALL(IF($D$2:$D$501="Spain",ROW($D$2:$D$501)-1),ROW()-1)),"")</f>
        <v/>
      </c>
    </row>
    <row r="258">
      <c r="A258" t="n">
        <v>257</v>
      </c>
      <c r="B258" t="inlineStr">
        <is>
          <t>Davis</t>
        </is>
      </c>
      <c r="C258" t="n">
        <v>753</v>
      </c>
      <c r="D258" t="inlineStr">
        <is>
          <t>France</t>
        </is>
      </c>
      <c r="E258" t="inlineStr">
        <is>
          <t>Male</t>
        </is>
      </c>
      <c r="F258" t="n">
        <v>33</v>
      </c>
      <c r="G258" t="n">
        <v>6</v>
      </c>
      <c r="H258" t="n">
        <v>147696.65</v>
      </c>
      <c r="I258" t="n">
        <v>2</v>
      </c>
      <c r="J258" t="n">
        <v>1</v>
      </c>
      <c r="K258" t="n">
        <v>0</v>
      </c>
      <c r="L258" t="n">
        <v>46897.41</v>
      </c>
      <c r="M258" t="n">
        <v>1</v>
      </c>
      <c r="O258">
        <f>IF($M258=1,$L258,"")</f>
        <v/>
      </c>
      <c r="P258">
        <f>IF($M258=0,$L258,"")</f>
        <v/>
      </c>
      <c r="R258">
        <f t="array" ref="R258">IFERROR(INDEX($L$2:$L$501,SMALL(IF($M$2:$M$501=1,ROW($M$2:$M$501)-1),ROW()-1)),"")</f>
        <v/>
      </c>
      <c r="S258">
        <f t="array" ref="S258">IFERROR(INDEX($L$2:$L$501,SMALL(IF($M$2:$M$501=0,ROW($M$2:$M$501)-1),ROW()-1)),"")</f>
        <v/>
      </c>
      <c r="U258">
        <f t="array" ref="U258">IFERROR(INDEX($C$2:$C$501,SMALL(IF($D$2:$D$501="France",ROW($D$2:$D$501)-1),ROW()-1)),"")</f>
        <v/>
      </c>
      <c r="V258">
        <f t="array" ref="V258">IFERROR(INDEX($C$2:$C$501,SMALL(IF($D$2:$D$501="Germany",ROW($D$2:$D$501)-1),ROW()-1)),"")</f>
        <v/>
      </c>
      <c r="W258">
        <f t="array" ref="W258">IFERROR(INDEX($C$2:$C$501,SMALL(IF($D$2:$D$501="Spain",ROW($D$2:$D$501)-1),ROW()-1)),"")</f>
        <v/>
      </c>
    </row>
    <row r="259">
      <c r="A259" t="n">
        <v>258</v>
      </c>
      <c r="B259" t="inlineStr">
        <is>
          <t>Williams</t>
        </is>
      </c>
      <c r="C259" t="n">
        <v>512</v>
      </c>
      <c r="D259" t="inlineStr">
        <is>
          <t>Spain</t>
        </is>
      </c>
      <c r="E259" t="inlineStr">
        <is>
          <t>Female</t>
        </is>
      </c>
      <c r="F259" t="n">
        <v>75</v>
      </c>
      <c r="G259" t="n">
        <v>10</v>
      </c>
      <c r="H259" t="n">
        <v>170020.95</v>
      </c>
      <c r="I259" t="n">
        <v>4</v>
      </c>
      <c r="J259" t="n">
        <v>1</v>
      </c>
      <c r="K259" t="n">
        <v>1</v>
      </c>
      <c r="L259" t="n">
        <v>34325.36</v>
      </c>
      <c r="M259" t="n">
        <v>1</v>
      </c>
      <c r="O259">
        <f>IF($M259=1,$L259,"")</f>
        <v/>
      </c>
      <c r="P259">
        <f>IF($M259=0,$L259,"")</f>
        <v/>
      </c>
      <c r="R259">
        <f t="array" ref="R259">IFERROR(INDEX($L$2:$L$501,SMALL(IF($M$2:$M$501=1,ROW($M$2:$M$501)-1),ROW()-1)),"")</f>
        <v/>
      </c>
      <c r="S259">
        <f t="array" ref="S259">IFERROR(INDEX($L$2:$L$501,SMALL(IF($M$2:$M$501=0,ROW($M$2:$M$501)-1),ROW()-1)),"")</f>
        <v/>
      </c>
      <c r="U259">
        <f t="array" ref="U259">IFERROR(INDEX($C$2:$C$501,SMALL(IF($D$2:$D$501="France",ROW($D$2:$D$501)-1),ROW()-1)),"")</f>
        <v/>
      </c>
      <c r="V259">
        <f t="array" ref="V259">IFERROR(INDEX($C$2:$C$501,SMALL(IF($D$2:$D$501="Germany",ROW($D$2:$D$501)-1),ROW()-1)),"")</f>
        <v/>
      </c>
      <c r="W259">
        <f t="array" ref="W259">IFERROR(INDEX($C$2:$C$501,SMALL(IF($D$2:$D$501="Spain",ROW($D$2:$D$501)-1),ROW()-1)),"")</f>
        <v/>
      </c>
    </row>
    <row r="260">
      <c r="A260" t="n">
        <v>259</v>
      </c>
      <c r="B260" t="inlineStr">
        <is>
          <t>Davis</t>
        </is>
      </c>
      <c r="C260" t="n">
        <v>400</v>
      </c>
      <c r="D260" t="inlineStr">
        <is>
          <t>Germany</t>
        </is>
      </c>
      <c r="E260" t="inlineStr">
        <is>
          <t>Male</t>
        </is>
      </c>
      <c r="F260" t="n">
        <v>21</v>
      </c>
      <c r="G260" t="n">
        <v>3</v>
      </c>
      <c r="H260" t="n">
        <v>67715.59</v>
      </c>
      <c r="I260" t="n">
        <v>2</v>
      </c>
      <c r="J260" t="n">
        <v>1</v>
      </c>
      <c r="K260" t="n">
        <v>1</v>
      </c>
      <c r="L260" t="n">
        <v>71585.87</v>
      </c>
      <c r="M260" t="n">
        <v>1</v>
      </c>
      <c r="O260">
        <f>IF($M260=1,$L260,"")</f>
        <v/>
      </c>
      <c r="P260">
        <f>IF($M260=0,$L260,"")</f>
        <v/>
      </c>
      <c r="R260">
        <f t="array" ref="R260">IFERROR(INDEX($L$2:$L$501,SMALL(IF($M$2:$M$501=1,ROW($M$2:$M$501)-1),ROW()-1)),"")</f>
        <v/>
      </c>
      <c r="S260">
        <f t="array" ref="S260">IFERROR(INDEX($L$2:$L$501,SMALL(IF($M$2:$M$501=0,ROW($M$2:$M$501)-1),ROW()-1)),"")</f>
        <v/>
      </c>
      <c r="U260">
        <f t="array" ref="U260">IFERROR(INDEX($C$2:$C$501,SMALL(IF($D$2:$D$501="France",ROW($D$2:$D$501)-1),ROW()-1)),"")</f>
        <v/>
      </c>
      <c r="V260">
        <f t="array" ref="V260">IFERROR(INDEX($C$2:$C$501,SMALL(IF($D$2:$D$501="Germany",ROW($D$2:$D$501)-1),ROW()-1)),"")</f>
        <v/>
      </c>
      <c r="W260">
        <f t="array" ref="W260">IFERROR(INDEX($C$2:$C$501,SMALL(IF($D$2:$D$501="Spain",ROW($D$2:$D$501)-1),ROW()-1)),"")</f>
        <v/>
      </c>
    </row>
    <row r="261">
      <c r="A261" t="n">
        <v>260</v>
      </c>
      <c r="B261" t="inlineStr">
        <is>
          <t>Wilson</t>
        </is>
      </c>
      <c r="C261" t="n">
        <v>592</v>
      </c>
      <c r="D261" t="inlineStr">
        <is>
          <t>Spain</t>
        </is>
      </c>
      <c r="E261" t="inlineStr">
        <is>
          <t>Male</t>
        </is>
      </c>
      <c r="F261" t="n">
        <v>78</v>
      </c>
      <c r="G261" t="n">
        <v>2</v>
      </c>
      <c r="H261" t="n">
        <v>64372.08</v>
      </c>
      <c r="I261" t="n">
        <v>2</v>
      </c>
      <c r="J261" t="n">
        <v>0</v>
      </c>
      <c r="K261" t="n">
        <v>1</v>
      </c>
      <c r="L261" t="n">
        <v>45223.9</v>
      </c>
      <c r="M261" t="n">
        <v>1</v>
      </c>
      <c r="O261">
        <f>IF($M261=1,$L261,"")</f>
        <v/>
      </c>
      <c r="P261">
        <f>IF($M261=0,$L261,"")</f>
        <v/>
      </c>
      <c r="R261">
        <f t="array" ref="R261">IFERROR(INDEX($L$2:$L$501,SMALL(IF($M$2:$M$501=1,ROW($M$2:$M$501)-1),ROW()-1)),"")</f>
        <v/>
      </c>
      <c r="S261">
        <f t="array" ref="S261">IFERROR(INDEX($L$2:$L$501,SMALL(IF($M$2:$M$501=0,ROW($M$2:$M$501)-1),ROW()-1)),"")</f>
        <v/>
      </c>
      <c r="U261">
        <f t="array" ref="U261">IFERROR(INDEX($C$2:$C$501,SMALL(IF($D$2:$D$501="France",ROW($D$2:$D$501)-1),ROW()-1)),"")</f>
        <v/>
      </c>
      <c r="V261">
        <f t="array" ref="V261">IFERROR(INDEX($C$2:$C$501,SMALL(IF($D$2:$D$501="Germany",ROW($D$2:$D$501)-1),ROW()-1)),"")</f>
        <v/>
      </c>
      <c r="W261">
        <f t="array" ref="W261">IFERROR(INDEX($C$2:$C$501,SMALL(IF($D$2:$D$501="Spain",ROW($D$2:$D$501)-1),ROW()-1)),"")</f>
        <v/>
      </c>
    </row>
    <row r="262">
      <c r="A262" t="n">
        <v>261</v>
      </c>
      <c r="B262" t="inlineStr">
        <is>
          <t>Wilson</t>
        </is>
      </c>
      <c r="C262" t="n">
        <v>708</v>
      </c>
      <c r="D262" t="inlineStr">
        <is>
          <t>Spain</t>
        </is>
      </c>
      <c r="E262" t="inlineStr">
        <is>
          <t>Female</t>
        </is>
      </c>
      <c r="F262" t="n">
        <v>57</v>
      </c>
      <c r="G262" t="n">
        <v>2</v>
      </c>
      <c r="H262" t="n">
        <v>85692.92999999999</v>
      </c>
      <c r="I262" t="n">
        <v>1</v>
      </c>
      <c r="J262" t="n">
        <v>1</v>
      </c>
      <c r="K262" t="n">
        <v>1</v>
      </c>
      <c r="L262" t="n">
        <v>122538.35</v>
      </c>
      <c r="M262" t="n">
        <v>0</v>
      </c>
      <c r="O262">
        <f>IF($M262=1,$L262,"")</f>
        <v/>
      </c>
      <c r="P262">
        <f>IF($M262=0,$L262,"")</f>
        <v/>
      </c>
      <c r="R262">
        <f t="array" ref="R262">IFERROR(INDEX($L$2:$L$501,SMALL(IF($M$2:$M$501=1,ROW($M$2:$M$501)-1),ROW()-1)),"")</f>
        <v/>
      </c>
      <c r="S262">
        <f t="array" ref="S262">IFERROR(INDEX($L$2:$L$501,SMALL(IF($M$2:$M$501=0,ROW($M$2:$M$501)-1),ROW()-1)),"")</f>
        <v/>
      </c>
      <c r="U262">
        <f t="array" ref="U262">IFERROR(INDEX($C$2:$C$501,SMALL(IF($D$2:$D$501="France",ROW($D$2:$D$501)-1),ROW()-1)),"")</f>
        <v/>
      </c>
      <c r="V262">
        <f t="array" ref="V262">IFERROR(INDEX($C$2:$C$501,SMALL(IF($D$2:$D$501="Germany",ROW($D$2:$D$501)-1),ROW()-1)),"")</f>
        <v/>
      </c>
      <c r="W262">
        <f t="array" ref="W262">IFERROR(INDEX($C$2:$C$501,SMALL(IF($D$2:$D$501="Spain",ROW($D$2:$D$501)-1),ROW()-1)),"")</f>
        <v/>
      </c>
    </row>
    <row r="263">
      <c r="A263" t="n">
        <v>262</v>
      </c>
      <c r="B263" t="inlineStr">
        <is>
          <t>Miller</t>
        </is>
      </c>
      <c r="C263" t="n">
        <v>370</v>
      </c>
      <c r="D263" t="inlineStr">
        <is>
          <t>Germany</t>
        </is>
      </c>
      <c r="E263" t="inlineStr">
        <is>
          <t>Male</t>
        </is>
      </c>
      <c r="F263" t="n">
        <v>47</v>
      </c>
      <c r="G263" t="n">
        <v>4</v>
      </c>
      <c r="H263" t="n">
        <v>20999.24</v>
      </c>
      <c r="I263" t="n">
        <v>3</v>
      </c>
      <c r="J263" t="n">
        <v>1</v>
      </c>
      <c r="K263" t="n">
        <v>1</v>
      </c>
      <c r="L263" t="n">
        <v>33647.8</v>
      </c>
      <c r="M263" t="n">
        <v>1</v>
      </c>
      <c r="O263">
        <f>IF($M263=1,$L263,"")</f>
        <v/>
      </c>
      <c r="P263">
        <f>IF($M263=0,$L263,"")</f>
        <v/>
      </c>
      <c r="R263">
        <f t="array" ref="R263">IFERROR(INDEX($L$2:$L$501,SMALL(IF($M$2:$M$501=1,ROW($M$2:$M$501)-1),ROW()-1)),"")</f>
        <v/>
      </c>
      <c r="S263">
        <f t="array" ref="S263">IFERROR(INDEX($L$2:$L$501,SMALL(IF($M$2:$M$501=0,ROW($M$2:$M$501)-1),ROW()-1)),"")</f>
        <v/>
      </c>
      <c r="U263">
        <f t="array" ref="U263">IFERROR(INDEX($C$2:$C$501,SMALL(IF($D$2:$D$501="France",ROW($D$2:$D$501)-1),ROW()-1)),"")</f>
        <v/>
      </c>
      <c r="V263">
        <f t="array" ref="V263">IFERROR(INDEX($C$2:$C$501,SMALL(IF($D$2:$D$501="Germany",ROW($D$2:$D$501)-1),ROW()-1)),"")</f>
        <v/>
      </c>
      <c r="W263">
        <f t="array" ref="W263">IFERROR(INDEX($C$2:$C$501,SMALL(IF($D$2:$D$501="Spain",ROW($D$2:$D$501)-1),ROW()-1)),"")</f>
        <v/>
      </c>
    </row>
    <row r="264">
      <c r="A264" t="n">
        <v>263</v>
      </c>
      <c r="B264" t="inlineStr">
        <is>
          <t>Johnson</t>
        </is>
      </c>
      <c r="C264" t="n">
        <v>521</v>
      </c>
      <c r="D264" t="inlineStr">
        <is>
          <t>Germany</t>
        </is>
      </c>
      <c r="E264" t="inlineStr">
        <is>
          <t>Male</t>
        </is>
      </c>
      <c r="F264" t="n">
        <v>71</v>
      </c>
      <c r="G264" t="n">
        <v>10</v>
      </c>
      <c r="H264" t="n">
        <v>234878.9</v>
      </c>
      <c r="I264" t="n">
        <v>1</v>
      </c>
      <c r="J264" t="n">
        <v>0</v>
      </c>
      <c r="K264" t="n">
        <v>1</v>
      </c>
      <c r="L264" t="n">
        <v>55748.58</v>
      </c>
      <c r="M264" t="n">
        <v>1</v>
      </c>
      <c r="O264">
        <f>IF($M264=1,$L264,"")</f>
        <v/>
      </c>
      <c r="P264">
        <f>IF($M264=0,$L264,"")</f>
        <v/>
      </c>
      <c r="R264">
        <f t="array" ref="R264">IFERROR(INDEX($L$2:$L$501,SMALL(IF($M$2:$M$501=1,ROW($M$2:$M$501)-1),ROW()-1)),"")</f>
        <v/>
      </c>
      <c r="S264">
        <f t="array" ref="S264">IFERROR(INDEX($L$2:$L$501,SMALL(IF($M$2:$M$501=0,ROW($M$2:$M$501)-1),ROW()-1)),"")</f>
        <v/>
      </c>
      <c r="U264">
        <f t="array" ref="U264">IFERROR(INDEX($C$2:$C$501,SMALL(IF($D$2:$D$501="France",ROW($D$2:$D$501)-1),ROW()-1)),"")</f>
        <v/>
      </c>
      <c r="V264">
        <f t="array" ref="V264">IFERROR(INDEX($C$2:$C$501,SMALL(IF($D$2:$D$501="Germany",ROW($D$2:$D$501)-1),ROW()-1)),"")</f>
        <v/>
      </c>
      <c r="W264">
        <f t="array" ref="W264">IFERROR(INDEX($C$2:$C$501,SMALL(IF($D$2:$D$501="Spain",ROW($D$2:$D$501)-1),ROW()-1)),"")</f>
        <v/>
      </c>
    </row>
    <row r="265">
      <c r="A265" t="n">
        <v>264</v>
      </c>
      <c r="B265" t="inlineStr">
        <is>
          <t>Miller</t>
        </is>
      </c>
      <c r="C265" t="n">
        <v>468</v>
      </c>
      <c r="D265" t="inlineStr">
        <is>
          <t>France</t>
        </is>
      </c>
      <c r="E265" t="inlineStr">
        <is>
          <t>Female</t>
        </is>
      </c>
      <c r="F265" t="n">
        <v>85</v>
      </c>
      <c r="G265" t="n">
        <v>7</v>
      </c>
      <c r="H265" t="n">
        <v>101290.26</v>
      </c>
      <c r="I265" t="n">
        <v>1</v>
      </c>
      <c r="J265" t="n">
        <v>1</v>
      </c>
      <c r="K265" t="n">
        <v>1</v>
      </c>
      <c r="L265" t="n">
        <v>37047.95</v>
      </c>
      <c r="M265" t="n">
        <v>0</v>
      </c>
      <c r="O265">
        <f>IF($M265=1,$L265,"")</f>
        <v/>
      </c>
      <c r="P265">
        <f>IF($M265=0,$L265,"")</f>
        <v/>
      </c>
      <c r="R265">
        <f t="array" ref="R265">IFERROR(INDEX($L$2:$L$501,SMALL(IF($M$2:$M$501=1,ROW($M$2:$M$501)-1),ROW()-1)),"")</f>
        <v/>
      </c>
      <c r="S265">
        <f t="array" ref="S265">IFERROR(INDEX($L$2:$L$501,SMALL(IF($M$2:$M$501=0,ROW($M$2:$M$501)-1),ROW()-1)),"")</f>
        <v/>
      </c>
      <c r="U265">
        <f t="array" ref="U265">IFERROR(INDEX($C$2:$C$501,SMALL(IF($D$2:$D$501="France",ROW($D$2:$D$501)-1),ROW()-1)),"")</f>
        <v/>
      </c>
      <c r="V265">
        <f t="array" ref="V265">IFERROR(INDEX($C$2:$C$501,SMALL(IF($D$2:$D$501="Germany",ROW($D$2:$D$501)-1),ROW()-1)),"")</f>
        <v/>
      </c>
      <c r="W265">
        <f t="array" ref="W265">IFERROR(INDEX($C$2:$C$501,SMALL(IF($D$2:$D$501="Spain",ROW($D$2:$D$501)-1),ROW()-1)),"")</f>
        <v/>
      </c>
    </row>
    <row r="266">
      <c r="A266" t="n">
        <v>265</v>
      </c>
      <c r="B266" t="inlineStr">
        <is>
          <t>Wilson</t>
        </is>
      </c>
      <c r="C266" t="n">
        <v>478</v>
      </c>
      <c r="D266" t="inlineStr">
        <is>
          <t>France</t>
        </is>
      </c>
      <c r="E266" t="inlineStr">
        <is>
          <t>Male</t>
        </is>
      </c>
      <c r="F266" t="n">
        <v>74</v>
      </c>
      <c r="G266" t="n">
        <v>2</v>
      </c>
      <c r="H266" t="n">
        <v>50125.4</v>
      </c>
      <c r="I266" t="n">
        <v>4</v>
      </c>
      <c r="J266" t="n">
        <v>1</v>
      </c>
      <c r="K266" t="n">
        <v>1</v>
      </c>
      <c r="L266" t="n">
        <v>14640.19</v>
      </c>
      <c r="M266" t="n">
        <v>1</v>
      </c>
      <c r="O266">
        <f>IF($M266=1,$L266,"")</f>
        <v/>
      </c>
      <c r="P266">
        <f>IF($M266=0,$L266,"")</f>
        <v/>
      </c>
      <c r="R266">
        <f t="array" ref="R266">IFERROR(INDEX($L$2:$L$501,SMALL(IF($M$2:$M$501=1,ROW($M$2:$M$501)-1),ROW()-1)),"")</f>
        <v/>
      </c>
      <c r="S266">
        <f t="array" ref="S266">IFERROR(INDEX($L$2:$L$501,SMALL(IF($M$2:$M$501=0,ROW($M$2:$M$501)-1),ROW()-1)),"")</f>
        <v/>
      </c>
      <c r="U266">
        <f t="array" ref="U266">IFERROR(INDEX($C$2:$C$501,SMALL(IF($D$2:$D$501="France",ROW($D$2:$D$501)-1),ROW()-1)),"")</f>
        <v/>
      </c>
      <c r="V266">
        <f t="array" ref="V266">IFERROR(INDEX($C$2:$C$501,SMALL(IF($D$2:$D$501="Germany",ROW($D$2:$D$501)-1),ROW()-1)),"")</f>
        <v/>
      </c>
      <c r="W266">
        <f t="array" ref="W266">IFERROR(INDEX($C$2:$C$501,SMALL(IF($D$2:$D$501="Spain",ROW($D$2:$D$501)-1),ROW()-1)),"")</f>
        <v/>
      </c>
    </row>
    <row r="267">
      <c r="A267" t="n">
        <v>266</v>
      </c>
      <c r="B267" t="inlineStr">
        <is>
          <t>Williams</t>
        </is>
      </c>
      <c r="C267" t="n">
        <v>834</v>
      </c>
      <c r="D267" t="inlineStr">
        <is>
          <t>Spain</t>
        </is>
      </c>
      <c r="E267" t="inlineStr">
        <is>
          <t>Female</t>
        </is>
      </c>
      <c r="F267" t="n">
        <v>63</v>
      </c>
      <c r="G267" t="n">
        <v>4</v>
      </c>
      <c r="H267" t="n">
        <v>85953.50999999999</v>
      </c>
      <c r="I267" t="n">
        <v>2</v>
      </c>
      <c r="J267" t="n">
        <v>1</v>
      </c>
      <c r="K267" t="n">
        <v>1</v>
      </c>
      <c r="L267" t="n">
        <v>91754.31</v>
      </c>
      <c r="M267" t="n">
        <v>0</v>
      </c>
      <c r="O267">
        <f>IF($M267=1,$L267,"")</f>
        <v/>
      </c>
      <c r="P267">
        <f>IF($M267=0,$L267,"")</f>
        <v/>
      </c>
      <c r="R267">
        <f t="array" ref="R267">IFERROR(INDEX($L$2:$L$501,SMALL(IF($M$2:$M$501=1,ROW($M$2:$M$501)-1),ROW()-1)),"")</f>
        <v/>
      </c>
      <c r="S267">
        <f t="array" ref="S267">IFERROR(INDEX($L$2:$L$501,SMALL(IF($M$2:$M$501=0,ROW($M$2:$M$501)-1),ROW()-1)),"")</f>
        <v/>
      </c>
      <c r="U267">
        <f t="array" ref="U267">IFERROR(INDEX($C$2:$C$501,SMALL(IF($D$2:$D$501="France",ROW($D$2:$D$501)-1),ROW()-1)),"")</f>
        <v/>
      </c>
      <c r="V267">
        <f t="array" ref="V267">IFERROR(INDEX($C$2:$C$501,SMALL(IF($D$2:$D$501="Germany",ROW($D$2:$D$501)-1),ROW()-1)),"")</f>
        <v/>
      </c>
      <c r="W267">
        <f t="array" ref="W267">IFERROR(INDEX($C$2:$C$501,SMALL(IF($D$2:$D$501="Spain",ROW($D$2:$D$501)-1),ROW()-1)),"")</f>
        <v/>
      </c>
    </row>
    <row r="268">
      <c r="A268" t="n">
        <v>267</v>
      </c>
      <c r="B268" t="inlineStr">
        <is>
          <t>Jones</t>
        </is>
      </c>
      <c r="C268" t="n">
        <v>715</v>
      </c>
      <c r="D268" t="inlineStr">
        <is>
          <t>France</t>
        </is>
      </c>
      <c r="E268" t="inlineStr">
        <is>
          <t>Male</t>
        </is>
      </c>
      <c r="F268" t="n">
        <v>29</v>
      </c>
      <c r="G268" t="n">
        <v>4</v>
      </c>
      <c r="H268" t="n">
        <v>48947.26</v>
      </c>
      <c r="I268" t="n">
        <v>4</v>
      </c>
      <c r="J268" t="n">
        <v>1</v>
      </c>
      <c r="K268" t="n">
        <v>0</v>
      </c>
      <c r="L268" t="n">
        <v>119204.73</v>
      </c>
      <c r="M268" t="n">
        <v>1</v>
      </c>
      <c r="O268">
        <f>IF($M268=1,$L268,"")</f>
        <v/>
      </c>
      <c r="P268">
        <f>IF($M268=0,$L268,"")</f>
        <v/>
      </c>
      <c r="R268">
        <f t="array" ref="R268">IFERROR(INDEX($L$2:$L$501,SMALL(IF($M$2:$M$501=1,ROW($M$2:$M$501)-1),ROW()-1)),"")</f>
        <v/>
      </c>
      <c r="S268">
        <f t="array" ref="S268">IFERROR(INDEX($L$2:$L$501,SMALL(IF($M$2:$M$501=0,ROW($M$2:$M$501)-1),ROW()-1)),"")</f>
        <v/>
      </c>
      <c r="U268">
        <f t="array" ref="U268">IFERROR(INDEX($C$2:$C$501,SMALL(IF($D$2:$D$501="France",ROW($D$2:$D$501)-1),ROW()-1)),"")</f>
        <v/>
      </c>
      <c r="V268">
        <f t="array" ref="V268">IFERROR(INDEX($C$2:$C$501,SMALL(IF($D$2:$D$501="Germany",ROW($D$2:$D$501)-1),ROW()-1)),"")</f>
        <v/>
      </c>
      <c r="W268">
        <f t="array" ref="W268">IFERROR(INDEX($C$2:$C$501,SMALL(IF($D$2:$D$501="Spain",ROW($D$2:$D$501)-1),ROW()-1)),"")</f>
        <v/>
      </c>
    </row>
    <row r="269">
      <c r="A269" t="n">
        <v>268</v>
      </c>
      <c r="B269" t="inlineStr">
        <is>
          <t>Johnson</t>
        </is>
      </c>
      <c r="C269" t="n">
        <v>455</v>
      </c>
      <c r="D269" t="inlineStr">
        <is>
          <t>Germany</t>
        </is>
      </c>
      <c r="E269" t="inlineStr">
        <is>
          <t>Female</t>
        </is>
      </c>
      <c r="F269" t="n">
        <v>23</v>
      </c>
      <c r="G269" t="n">
        <v>9</v>
      </c>
      <c r="H269" t="n">
        <v>63959.82</v>
      </c>
      <c r="I269" t="n">
        <v>4</v>
      </c>
      <c r="J269" t="n">
        <v>0</v>
      </c>
      <c r="K269" t="n">
        <v>1</v>
      </c>
      <c r="L269" t="n">
        <v>124481.95</v>
      </c>
      <c r="M269" t="n">
        <v>0</v>
      </c>
      <c r="O269">
        <f>IF($M269=1,$L269,"")</f>
        <v/>
      </c>
      <c r="P269">
        <f>IF($M269=0,$L269,"")</f>
        <v/>
      </c>
      <c r="R269">
        <f t="array" ref="R269">IFERROR(INDEX($L$2:$L$501,SMALL(IF($M$2:$M$501=1,ROW($M$2:$M$501)-1),ROW()-1)),"")</f>
        <v/>
      </c>
      <c r="S269">
        <f t="array" ref="S269">IFERROR(INDEX($L$2:$L$501,SMALL(IF($M$2:$M$501=0,ROW($M$2:$M$501)-1),ROW()-1)),"")</f>
        <v/>
      </c>
      <c r="U269">
        <f t="array" ref="U269">IFERROR(INDEX($C$2:$C$501,SMALL(IF($D$2:$D$501="France",ROW($D$2:$D$501)-1),ROW()-1)),"")</f>
        <v/>
      </c>
      <c r="V269">
        <f t="array" ref="V269">IFERROR(INDEX($C$2:$C$501,SMALL(IF($D$2:$D$501="Germany",ROW($D$2:$D$501)-1),ROW()-1)),"")</f>
        <v/>
      </c>
      <c r="W269">
        <f t="array" ref="W269">IFERROR(INDEX($C$2:$C$501,SMALL(IF($D$2:$D$501="Spain",ROW($D$2:$D$501)-1),ROW()-1)),"")</f>
        <v/>
      </c>
    </row>
    <row r="270">
      <c r="A270" t="n">
        <v>269</v>
      </c>
      <c r="B270" t="inlineStr">
        <is>
          <t>Taylor</t>
        </is>
      </c>
      <c r="C270" t="n">
        <v>544</v>
      </c>
      <c r="D270" t="inlineStr">
        <is>
          <t>Germany</t>
        </is>
      </c>
      <c r="E270" t="inlineStr">
        <is>
          <t>Male</t>
        </is>
      </c>
      <c r="F270" t="n">
        <v>48</v>
      </c>
      <c r="G270" t="n">
        <v>1</v>
      </c>
      <c r="H270" t="n">
        <v>189398.99</v>
      </c>
      <c r="I270" t="n">
        <v>2</v>
      </c>
      <c r="J270" t="n">
        <v>1</v>
      </c>
      <c r="K270" t="n">
        <v>1</v>
      </c>
      <c r="L270" t="n">
        <v>106385.78</v>
      </c>
      <c r="M270" t="n">
        <v>1</v>
      </c>
      <c r="O270">
        <f>IF($M270=1,$L270,"")</f>
        <v/>
      </c>
      <c r="P270">
        <f>IF($M270=0,$L270,"")</f>
        <v/>
      </c>
      <c r="R270">
        <f t="array" ref="R270">IFERROR(INDEX($L$2:$L$501,SMALL(IF($M$2:$M$501=1,ROW($M$2:$M$501)-1),ROW()-1)),"")</f>
        <v/>
      </c>
      <c r="S270">
        <f t="array" ref="S270">IFERROR(INDEX($L$2:$L$501,SMALL(IF($M$2:$M$501=0,ROW($M$2:$M$501)-1),ROW()-1)),"")</f>
        <v/>
      </c>
      <c r="U270">
        <f t="array" ref="U270">IFERROR(INDEX($C$2:$C$501,SMALL(IF($D$2:$D$501="France",ROW($D$2:$D$501)-1),ROW()-1)),"")</f>
        <v/>
      </c>
      <c r="V270">
        <f t="array" ref="V270">IFERROR(INDEX($C$2:$C$501,SMALL(IF($D$2:$D$501="Germany",ROW($D$2:$D$501)-1),ROW()-1)),"")</f>
        <v/>
      </c>
      <c r="W270">
        <f t="array" ref="W270">IFERROR(INDEX($C$2:$C$501,SMALL(IF($D$2:$D$501="Spain",ROW($D$2:$D$501)-1),ROW()-1)),"")</f>
        <v/>
      </c>
    </row>
    <row r="271">
      <c r="A271" t="n">
        <v>270</v>
      </c>
      <c r="B271" t="inlineStr">
        <is>
          <t>Davis</t>
        </is>
      </c>
      <c r="C271" t="n">
        <v>575</v>
      </c>
      <c r="D271" t="inlineStr">
        <is>
          <t>Germany</t>
        </is>
      </c>
      <c r="E271" t="inlineStr">
        <is>
          <t>Male</t>
        </is>
      </c>
      <c r="F271" t="n">
        <v>76</v>
      </c>
      <c r="G271" t="n">
        <v>5</v>
      </c>
      <c r="H271" t="n">
        <v>59505.51</v>
      </c>
      <c r="I271" t="n">
        <v>4</v>
      </c>
      <c r="J271" t="n">
        <v>1</v>
      </c>
      <c r="K271" t="n">
        <v>0</v>
      </c>
      <c r="L271" t="n">
        <v>116792.39</v>
      </c>
      <c r="M271" t="n">
        <v>1</v>
      </c>
      <c r="O271">
        <f>IF($M271=1,$L271,"")</f>
        <v/>
      </c>
      <c r="P271">
        <f>IF($M271=0,$L271,"")</f>
        <v/>
      </c>
      <c r="R271">
        <f t="array" ref="R271">IFERROR(INDEX($L$2:$L$501,SMALL(IF($M$2:$M$501=1,ROW($M$2:$M$501)-1),ROW()-1)),"")</f>
        <v/>
      </c>
      <c r="S271">
        <f t="array" ref="S271">IFERROR(INDEX($L$2:$L$501,SMALL(IF($M$2:$M$501=0,ROW($M$2:$M$501)-1),ROW()-1)),"")</f>
        <v/>
      </c>
      <c r="U271">
        <f t="array" ref="U271">IFERROR(INDEX($C$2:$C$501,SMALL(IF($D$2:$D$501="France",ROW($D$2:$D$501)-1),ROW()-1)),"")</f>
        <v/>
      </c>
      <c r="V271">
        <f t="array" ref="V271">IFERROR(INDEX($C$2:$C$501,SMALL(IF($D$2:$D$501="Germany",ROW($D$2:$D$501)-1),ROW()-1)),"")</f>
        <v/>
      </c>
      <c r="W271">
        <f t="array" ref="W271">IFERROR(INDEX($C$2:$C$501,SMALL(IF($D$2:$D$501="Spain",ROW($D$2:$D$501)-1),ROW()-1)),"")</f>
        <v/>
      </c>
    </row>
    <row r="272">
      <c r="A272" t="n">
        <v>271</v>
      </c>
      <c r="B272" t="inlineStr">
        <is>
          <t>Taylor</t>
        </is>
      </c>
      <c r="C272" t="n">
        <v>490</v>
      </c>
      <c r="D272" t="inlineStr">
        <is>
          <t>Spain</t>
        </is>
      </c>
      <c r="E272" t="inlineStr">
        <is>
          <t>Female</t>
        </is>
      </c>
      <c r="F272" t="n">
        <v>86</v>
      </c>
      <c r="G272" t="n">
        <v>3</v>
      </c>
      <c r="H272" t="n">
        <v>174710.86</v>
      </c>
      <c r="I272" t="n">
        <v>3</v>
      </c>
      <c r="J272" t="n">
        <v>1</v>
      </c>
      <c r="K272" t="n">
        <v>1</v>
      </c>
      <c r="L272" t="n">
        <v>72099.13</v>
      </c>
      <c r="M272" t="n">
        <v>1</v>
      </c>
      <c r="O272">
        <f>IF($M272=1,$L272,"")</f>
        <v/>
      </c>
      <c r="P272">
        <f>IF($M272=0,$L272,"")</f>
        <v/>
      </c>
      <c r="R272">
        <f t="array" ref="R272">IFERROR(INDEX($L$2:$L$501,SMALL(IF($M$2:$M$501=1,ROW($M$2:$M$501)-1),ROW()-1)),"")</f>
        <v/>
      </c>
      <c r="S272">
        <f t="array" ref="S272">IFERROR(INDEX($L$2:$L$501,SMALL(IF($M$2:$M$501=0,ROW($M$2:$M$501)-1),ROW()-1)),"")</f>
        <v/>
      </c>
      <c r="U272">
        <f t="array" ref="U272">IFERROR(INDEX($C$2:$C$501,SMALL(IF($D$2:$D$501="France",ROW($D$2:$D$501)-1),ROW()-1)),"")</f>
        <v/>
      </c>
      <c r="V272">
        <f t="array" ref="V272">IFERROR(INDEX($C$2:$C$501,SMALL(IF($D$2:$D$501="Germany",ROW($D$2:$D$501)-1),ROW()-1)),"")</f>
        <v/>
      </c>
      <c r="W272">
        <f t="array" ref="W272">IFERROR(INDEX($C$2:$C$501,SMALL(IF($D$2:$D$501="Spain",ROW($D$2:$D$501)-1),ROW()-1)),"")</f>
        <v/>
      </c>
    </row>
    <row r="273">
      <c r="A273" t="n">
        <v>272</v>
      </c>
      <c r="B273" t="inlineStr">
        <is>
          <t>Taylor</t>
        </is>
      </c>
      <c r="C273" t="n">
        <v>621</v>
      </c>
      <c r="D273" t="inlineStr">
        <is>
          <t>France</t>
        </is>
      </c>
      <c r="E273" t="inlineStr">
        <is>
          <t>Female</t>
        </is>
      </c>
      <c r="F273" t="n">
        <v>77</v>
      </c>
      <c r="G273" t="n">
        <v>7</v>
      </c>
      <c r="H273" t="n">
        <v>148341.38</v>
      </c>
      <c r="I273" t="n">
        <v>2</v>
      </c>
      <c r="J273" t="n">
        <v>0</v>
      </c>
      <c r="K273" t="n">
        <v>1</v>
      </c>
      <c r="L273" t="n">
        <v>26002.71</v>
      </c>
      <c r="M273" t="n">
        <v>1</v>
      </c>
      <c r="O273">
        <f>IF($M273=1,$L273,"")</f>
        <v/>
      </c>
      <c r="P273">
        <f>IF($M273=0,$L273,"")</f>
        <v/>
      </c>
      <c r="R273">
        <f t="array" ref="R273">IFERROR(INDEX($L$2:$L$501,SMALL(IF($M$2:$M$501=1,ROW($M$2:$M$501)-1),ROW()-1)),"")</f>
        <v/>
      </c>
      <c r="S273">
        <f t="array" ref="S273">IFERROR(INDEX($L$2:$L$501,SMALL(IF($M$2:$M$501=0,ROW($M$2:$M$501)-1),ROW()-1)),"")</f>
        <v/>
      </c>
      <c r="U273">
        <f t="array" ref="U273">IFERROR(INDEX($C$2:$C$501,SMALL(IF($D$2:$D$501="France",ROW($D$2:$D$501)-1),ROW()-1)),"")</f>
        <v/>
      </c>
      <c r="V273">
        <f t="array" ref="V273">IFERROR(INDEX($C$2:$C$501,SMALL(IF($D$2:$D$501="Germany",ROW($D$2:$D$501)-1),ROW()-1)),"")</f>
        <v/>
      </c>
      <c r="W273">
        <f t="array" ref="W273">IFERROR(INDEX($C$2:$C$501,SMALL(IF($D$2:$D$501="Spain",ROW($D$2:$D$501)-1),ROW()-1)),"")</f>
        <v/>
      </c>
    </row>
    <row r="274">
      <c r="A274" t="n">
        <v>273</v>
      </c>
      <c r="B274" t="inlineStr">
        <is>
          <t>Williams</t>
        </is>
      </c>
      <c r="C274" t="n">
        <v>468</v>
      </c>
      <c r="D274" t="inlineStr">
        <is>
          <t>France</t>
        </is>
      </c>
      <c r="E274" t="inlineStr">
        <is>
          <t>Male</t>
        </is>
      </c>
      <c r="F274" t="n">
        <v>50</v>
      </c>
      <c r="G274" t="n">
        <v>4</v>
      </c>
      <c r="H274" t="n">
        <v>36270.72</v>
      </c>
      <c r="I274" t="n">
        <v>4</v>
      </c>
      <c r="J274" t="n">
        <v>0</v>
      </c>
      <c r="K274" t="n">
        <v>0</v>
      </c>
      <c r="L274" t="n">
        <v>48088.94</v>
      </c>
      <c r="M274" t="n">
        <v>1</v>
      </c>
      <c r="O274">
        <f>IF($M274=1,$L274,"")</f>
        <v/>
      </c>
      <c r="P274">
        <f>IF($M274=0,$L274,"")</f>
        <v/>
      </c>
      <c r="R274">
        <f t="array" ref="R274">IFERROR(INDEX($L$2:$L$501,SMALL(IF($M$2:$M$501=1,ROW($M$2:$M$501)-1),ROW()-1)),"")</f>
        <v/>
      </c>
      <c r="S274">
        <f t="array" ref="S274">IFERROR(INDEX($L$2:$L$501,SMALL(IF($M$2:$M$501=0,ROW($M$2:$M$501)-1),ROW()-1)),"")</f>
        <v/>
      </c>
      <c r="U274">
        <f t="array" ref="U274">IFERROR(INDEX($C$2:$C$501,SMALL(IF($D$2:$D$501="France",ROW($D$2:$D$501)-1),ROW()-1)),"")</f>
        <v/>
      </c>
      <c r="V274">
        <f t="array" ref="V274">IFERROR(INDEX($C$2:$C$501,SMALL(IF($D$2:$D$501="Germany",ROW($D$2:$D$501)-1),ROW()-1)),"")</f>
        <v/>
      </c>
      <c r="W274">
        <f t="array" ref="W274">IFERROR(INDEX($C$2:$C$501,SMALL(IF($D$2:$D$501="Spain",ROW($D$2:$D$501)-1),ROW()-1)),"")</f>
        <v/>
      </c>
    </row>
    <row r="275">
      <c r="A275" t="n">
        <v>274</v>
      </c>
      <c r="B275" t="inlineStr">
        <is>
          <t>Smith</t>
        </is>
      </c>
      <c r="C275" t="n">
        <v>383</v>
      </c>
      <c r="D275" t="inlineStr">
        <is>
          <t>France</t>
        </is>
      </c>
      <c r="E275" t="inlineStr">
        <is>
          <t>Male</t>
        </is>
      </c>
      <c r="F275" t="n">
        <v>55</v>
      </c>
      <c r="G275" t="n">
        <v>10</v>
      </c>
      <c r="H275" t="n">
        <v>190927.15</v>
      </c>
      <c r="I275" t="n">
        <v>3</v>
      </c>
      <c r="J275" t="n">
        <v>1</v>
      </c>
      <c r="K275" t="n">
        <v>0</v>
      </c>
      <c r="L275" t="n">
        <v>88503.02</v>
      </c>
      <c r="M275" t="n">
        <v>1</v>
      </c>
      <c r="O275">
        <f>IF($M275=1,$L275,"")</f>
        <v/>
      </c>
      <c r="P275">
        <f>IF($M275=0,$L275,"")</f>
        <v/>
      </c>
      <c r="R275">
        <f t="array" ref="R275">IFERROR(INDEX($L$2:$L$501,SMALL(IF($M$2:$M$501=1,ROW($M$2:$M$501)-1),ROW()-1)),"")</f>
        <v/>
      </c>
      <c r="S275">
        <f t="array" ref="S275">IFERROR(INDEX($L$2:$L$501,SMALL(IF($M$2:$M$501=0,ROW($M$2:$M$501)-1),ROW()-1)),"")</f>
        <v/>
      </c>
      <c r="U275">
        <f t="array" ref="U275">IFERROR(INDEX($C$2:$C$501,SMALL(IF($D$2:$D$501="France",ROW($D$2:$D$501)-1),ROW()-1)),"")</f>
        <v/>
      </c>
      <c r="V275">
        <f t="array" ref="V275">IFERROR(INDEX($C$2:$C$501,SMALL(IF($D$2:$D$501="Germany",ROW($D$2:$D$501)-1),ROW()-1)),"")</f>
        <v/>
      </c>
      <c r="W275">
        <f t="array" ref="W275">IFERROR(INDEX($C$2:$C$501,SMALL(IF($D$2:$D$501="Spain",ROW($D$2:$D$501)-1),ROW()-1)),"")</f>
        <v/>
      </c>
    </row>
    <row r="276">
      <c r="A276" t="n">
        <v>275</v>
      </c>
      <c r="B276" t="inlineStr">
        <is>
          <t>Taylor</t>
        </is>
      </c>
      <c r="C276" t="n">
        <v>501</v>
      </c>
      <c r="D276" t="inlineStr">
        <is>
          <t>France</t>
        </is>
      </c>
      <c r="E276" t="inlineStr">
        <is>
          <t>Male</t>
        </is>
      </c>
      <c r="F276" t="n">
        <v>61</v>
      </c>
      <c r="G276" t="n">
        <v>2</v>
      </c>
      <c r="H276" t="n">
        <v>213218.12</v>
      </c>
      <c r="I276" t="n">
        <v>1</v>
      </c>
      <c r="J276" t="n">
        <v>1</v>
      </c>
      <c r="K276" t="n">
        <v>0</v>
      </c>
      <c r="L276" t="n">
        <v>140183.29</v>
      </c>
      <c r="M276" t="n">
        <v>0</v>
      </c>
      <c r="O276">
        <f>IF($M276=1,$L276,"")</f>
        <v/>
      </c>
      <c r="P276">
        <f>IF($M276=0,$L276,"")</f>
        <v/>
      </c>
      <c r="R276">
        <f t="array" ref="R276">IFERROR(INDEX($L$2:$L$501,SMALL(IF($M$2:$M$501=1,ROW($M$2:$M$501)-1),ROW()-1)),"")</f>
        <v/>
      </c>
      <c r="S276">
        <f t="array" ref="S276">IFERROR(INDEX($L$2:$L$501,SMALL(IF($M$2:$M$501=0,ROW($M$2:$M$501)-1),ROW()-1)),"")</f>
        <v/>
      </c>
      <c r="U276">
        <f t="array" ref="U276">IFERROR(INDEX($C$2:$C$501,SMALL(IF($D$2:$D$501="France",ROW($D$2:$D$501)-1),ROW()-1)),"")</f>
        <v/>
      </c>
      <c r="V276">
        <f t="array" ref="V276">IFERROR(INDEX($C$2:$C$501,SMALL(IF($D$2:$D$501="Germany",ROW($D$2:$D$501)-1),ROW()-1)),"")</f>
        <v/>
      </c>
      <c r="W276">
        <f t="array" ref="W276">IFERROR(INDEX($C$2:$C$501,SMALL(IF($D$2:$D$501="Spain",ROW($D$2:$D$501)-1),ROW()-1)),"")</f>
        <v/>
      </c>
    </row>
    <row r="277">
      <c r="A277" t="n">
        <v>276</v>
      </c>
      <c r="B277" t="inlineStr">
        <is>
          <t>Johnson</t>
        </is>
      </c>
      <c r="C277" t="n">
        <v>746</v>
      </c>
      <c r="D277" t="inlineStr">
        <is>
          <t>France</t>
        </is>
      </c>
      <c r="E277" t="inlineStr">
        <is>
          <t>Male</t>
        </is>
      </c>
      <c r="F277" t="n">
        <v>78</v>
      </c>
      <c r="G277" t="n">
        <v>0</v>
      </c>
      <c r="H277" t="n">
        <v>238996.86</v>
      </c>
      <c r="I277" t="n">
        <v>2</v>
      </c>
      <c r="J277" t="n">
        <v>1</v>
      </c>
      <c r="K277" t="n">
        <v>0</v>
      </c>
      <c r="L277" t="n">
        <v>105194.71</v>
      </c>
      <c r="M277" t="n">
        <v>0</v>
      </c>
      <c r="O277">
        <f>IF($M277=1,$L277,"")</f>
        <v/>
      </c>
      <c r="P277">
        <f>IF($M277=0,$L277,"")</f>
        <v/>
      </c>
      <c r="R277">
        <f t="array" ref="R277">IFERROR(INDEX($L$2:$L$501,SMALL(IF($M$2:$M$501=1,ROW($M$2:$M$501)-1),ROW()-1)),"")</f>
        <v/>
      </c>
      <c r="S277">
        <f t="array" ref="S277">IFERROR(INDEX($L$2:$L$501,SMALL(IF($M$2:$M$501=0,ROW($M$2:$M$501)-1),ROW()-1)),"")</f>
        <v/>
      </c>
      <c r="U277">
        <f t="array" ref="U277">IFERROR(INDEX($C$2:$C$501,SMALL(IF($D$2:$D$501="France",ROW($D$2:$D$501)-1),ROW()-1)),"")</f>
        <v/>
      </c>
      <c r="V277">
        <f t="array" ref="V277">IFERROR(INDEX($C$2:$C$501,SMALL(IF($D$2:$D$501="Germany",ROW($D$2:$D$501)-1),ROW()-1)),"")</f>
        <v/>
      </c>
      <c r="W277">
        <f t="array" ref="W277">IFERROR(INDEX($C$2:$C$501,SMALL(IF($D$2:$D$501="Spain",ROW($D$2:$D$501)-1),ROW()-1)),"")</f>
        <v/>
      </c>
    </row>
    <row r="278">
      <c r="A278" t="n">
        <v>277</v>
      </c>
      <c r="B278" t="inlineStr">
        <is>
          <t>Taylor</t>
        </is>
      </c>
      <c r="C278" t="n">
        <v>739</v>
      </c>
      <c r="D278" t="inlineStr">
        <is>
          <t>France</t>
        </is>
      </c>
      <c r="E278" t="inlineStr">
        <is>
          <t>Male</t>
        </is>
      </c>
      <c r="F278" t="n">
        <v>63</v>
      </c>
      <c r="G278" t="n">
        <v>9</v>
      </c>
      <c r="H278" t="n">
        <v>239749.84</v>
      </c>
      <c r="I278" t="n">
        <v>1</v>
      </c>
      <c r="J278" t="n">
        <v>0</v>
      </c>
      <c r="K278" t="n">
        <v>0</v>
      </c>
      <c r="L278" t="n">
        <v>35871.66</v>
      </c>
      <c r="M278" t="n">
        <v>0</v>
      </c>
      <c r="O278">
        <f>IF($M278=1,$L278,"")</f>
        <v/>
      </c>
      <c r="P278">
        <f>IF($M278=0,$L278,"")</f>
        <v/>
      </c>
      <c r="R278">
        <f t="array" ref="R278">IFERROR(INDEX($L$2:$L$501,SMALL(IF($M$2:$M$501=1,ROW($M$2:$M$501)-1),ROW()-1)),"")</f>
        <v/>
      </c>
      <c r="S278">
        <f t="array" ref="S278">IFERROR(INDEX($L$2:$L$501,SMALL(IF($M$2:$M$501=0,ROW($M$2:$M$501)-1),ROW()-1)),"")</f>
        <v/>
      </c>
      <c r="U278">
        <f t="array" ref="U278">IFERROR(INDEX($C$2:$C$501,SMALL(IF($D$2:$D$501="France",ROW($D$2:$D$501)-1),ROW()-1)),"")</f>
        <v/>
      </c>
      <c r="V278">
        <f t="array" ref="V278">IFERROR(INDEX($C$2:$C$501,SMALL(IF($D$2:$D$501="Germany",ROW($D$2:$D$501)-1),ROW()-1)),"")</f>
        <v/>
      </c>
      <c r="W278">
        <f t="array" ref="W278">IFERROR(INDEX($C$2:$C$501,SMALL(IF($D$2:$D$501="Spain",ROW($D$2:$D$501)-1),ROW()-1)),"")</f>
        <v/>
      </c>
    </row>
    <row r="279">
      <c r="A279" t="n">
        <v>278</v>
      </c>
      <c r="B279" t="inlineStr">
        <is>
          <t>Smith</t>
        </is>
      </c>
      <c r="C279" t="n">
        <v>388</v>
      </c>
      <c r="D279" t="inlineStr">
        <is>
          <t>France</t>
        </is>
      </c>
      <c r="E279" t="inlineStr">
        <is>
          <t>Female</t>
        </is>
      </c>
      <c r="F279" t="n">
        <v>47</v>
      </c>
      <c r="G279" t="n">
        <v>2</v>
      </c>
      <c r="H279" t="n">
        <v>176592.7</v>
      </c>
      <c r="I279" t="n">
        <v>4</v>
      </c>
      <c r="J279" t="n">
        <v>0</v>
      </c>
      <c r="K279" t="n">
        <v>0</v>
      </c>
      <c r="L279" t="n">
        <v>75036.28999999999</v>
      </c>
      <c r="M279" t="n">
        <v>1</v>
      </c>
      <c r="O279">
        <f>IF($M279=1,$L279,"")</f>
        <v/>
      </c>
      <c r="P279">
        <f>IF($M279=0,$L279,"")</f>
        <v/>
      </c>
      <c r="R279">
        <f t="array" ref="R279">IFERROR(INDEX($L$2:$L$501,SMALL(IF($M$2:$M$501=1,ROW($M$2:$M$501)-1),ROW()-1)),"")</f>
        <v/>
      </c>
      <c r="S279">
        <f t="array" ref="S279">IFERROR(INDEX($L$2:$L$501,SMALL(IF($M$2:$M$501=0,ROW($M$2:$M$501)-1),ROW()-1)),"")</f>
        <v/>
      </c>
      <c r="U279">
        <f t="array" ref="U279">IFERROR(INDEX($C$2:$C$501,SMALL(IF($D$2:$D$501="France",ROW($D$2:$D$501)-1),ROW()-1)),"")</f>
        <v/>
      </c>
      <c r="V279">
        <f t="array" ref="V279">IFERROR(INDEX($C$2:$C$501,SMALL(IF($D$2:$D$501="Germany",ROW($D$2:$D$501)-1),ROW()-1)),"")</f>
        <v/>
      </c>
      <c r="W279">
        <f t="array" ref="W279">IFERROR(INDEX($C$2:$C$501,SMALL(IF($D$2:$D$501="Spain",ROW($D$2:$D$501)-1),ROW()-1)),"")</f>
        <v/>
      </c>
    </row>
    <row r="280">
      <c r="A280" t="n">
        <v>279</v>
      </c>
      <c r="B280" t="inlineStr">
        <is>
          <t>Miller</t>
        </is>
      </c>
      <c r="C280" t="n">
        <v>607</v>
      </c>
      <c r="D280" t="inlineStr">
        <is>
          <t>Spain</t>
        </is>
      </c>
      <c r="E280" t="inlineStr">
        <is>
          <t>Female</t>
        </is>
      </c>
      <c r="F280" t="n">
        <v>45</v>
      </c>
      <c r="G280" t="n">
        <v>2</v>
      </c>
      <c r="H280" t="n">
        <v>72836.13</v>
      </c>
      <c r="I280" t="n">
        <v>3</v>
      </c>
      <c r="J280" t="n">
        <v>1</v>
      </c>
      <c r="K280" t="n">
        <v>1</v>
      </c>
      <c r="L280" t="n">
        <v>127236.12</v>
      </c>
      <c r="M280" t="n">
        <v>1</v>
      </c>
      <c r="O280">
        <f>IF($M280=1,$L280,"")</f>
        <v/>
      </c>
      <c r="P280">
        <f>IF($M280=0,$L280,"")</f>
        <v/>
      </c>
      <c r="R280">
        <f t="array" ref="R280">IFERROR(INDEX($L$2:$L$501,SMALL(IF($M$2:$M$501=1,ROW($M$2:$M$501)-1),ROW()-1)),"")</f>
        <v/>
      </c>
      <c r="S280">
        <f t="array" ref="S280">IFERROR(INDEX($L$2:$L$501,SMALL(IF($M$2:$M$501=0,ROW($M$2:$M$501)-1),ROW()-1)),"")</f>
        <v/>
      </c>
      <c r="U280">
        <f t="array" ref="U280">IFERROR(INDEX($C$2:$C$501,SMALL(IF($D$2:$D$501="France",ROW($D$2:$D$501)-1),ROW()-1)),"")</f>
        <v/>
      </c>
      <c r="V280">
        <f t="array" ref="V280">IFERROR(INDEX($C$2:$C$501,SMALL(IF($D$2:$D$501="Germany",ROW($D$2:$D$501)-1),ROW()-1)),"")</f>
        <v/>
      </c>
      <c r="W280">
        <f t="array" ref="W280">IFERROR(INDEX($C$2:$C$501,SMALL(IF($D$2:$D$501="Spain",ROW($D$2:$D$501)-1),ROW()-1)),"")</f>
        <v/>
      </c>
    </row>
    <row r="281">
      <c r="A281" t="n">
        <v>280</v>
      </c>
      <c r="B281" t="inlineStr">
        <is>
          <t>Smith</t>
        </is>
      </c>
      <c r="C281" t="n">
        <v>616</v>
      </c>
      <c r="D281" t="inlineStr">
        <is>
          <t>France</t>
        </is>
      </c>
      <c r="E281" t="inlineStr">
        <is>
          <t>Male</t>
        </is>
      </c>
      <c r="F281" t="n">
        <v>45</v>
      </c>
      <c r="G281" t="n">
        <v>9</v>
      </c>
      <c r="H281" t="n">
        <v>9477.92</v>
      </c>
      <c r="I281" t="n">
        <v>3</v>
      </c>
      <c r="J281" t="n">
        <v>1</v>
      </c>
      <c r="K281" t="n">
        <v>1</v>
      </c>
      <c r="L281" t="n">
        <v>23547.86</v>
      </c>
      <c r="M281" t="n">
        <v>1</v>
      </c>
      <c r="O281">
        <f>IF($M281=1,$L281,"")</f>
        <v/>
      </c>
      <c r="P281">
        <f>IF($M281=0,$L281,"")</f>
        <v/>
      </c>
      <c r="R281">
        <f t="array" ref="R281">IFERROR(INDEX($L$2:$L$501,SMALL(IF($M$2:$M$501=1,ROW($M$2:$M$501)-1),ROW()-1)),"")</f>
        <v/>
      </c>
      <c r="S281">
        <f t="array" ref="S281">IFERROR(INDEX($L$2:$L$501,SMALL(IF($M$2:$M$501=0,ROW($M$2:$M$501)-1),ROW()-1)),"")</f>
        <v/>
      </c>
      <c r="U281">
        <f t="array" ref="U281">IFERROR(INDEX($C$2:$C$501,SMALL(IF($D$2:$D$501="France",ROW($D$2:$D$501)-1),ROW()-1)),"")</f>
        <v/>
      </c>
      <c r="V281">
        <f t="array" ref="V281">IFERROR(INDEX($C$2:$C$501,SMALL(IF($D$2:$D$501="Germany",ROW($D$2:$D$501)-1),ROW()-1)),"")</f>
        <v/>
      </c>
      <c r="W281">
        <f t="array" ref="W281">IFERROR(INDEX($C$2:$C$501,SMALL(IF($D$2:$D$501="Spain",ROW($D$2:$D$501)-1),ROW()-1)),"")</f>
        <v/>
      </c>
    </row>
    <row r="282">
      <c r="A282" t="n">
        <v>281</v>
      </c>
      <c r="B282" t="inlineStr">
        <is>
          <t>Brown</t>
        </is>
      </c>
      <c r="C282" t="n">
        <v>356</v>
      </c>
      <c r="D282" t="inlineStr">
        <is>
          <t>France</t>
        </is>
      </c>
      <c r="E282" t="inlineStr">
        <is>
          <t>Female</t>
        </is>
      </c>
      <c r="F282" t="n">
        <v>47</v>
      </c>
      <c r="G282" t="n">
        <v>6</v>
      </c>
      <c r="H282" t="n">
        <v>97557.60000000001</v>
      </c>
      <c r="I282" t="n">
        <v>3</v>
      </c>
      <c r="J282" t="n">
        <v>0</v>
      </c>
      <c r="K282" t="n">
        <v>1</v>
      </c>
      <c r="L282" t="n">
        <v>21082.35</v>
      </c>
      <c r="M282" t="n">
        <v>1</v>
      </c>
      <c r="O282">
        <f>IF($M282=1,$L282,"")</f>
        <v/>
      </c>
      <c r="P282">
        <f>IF($M282=0,$L282,"")</f>
        <v/>
      </c>
      <c r="R282">
        <f t="array" ref="R282">IFERROR(INDEX($L$2:$L$501,SMALL(IF($M$2:$M$501=1,ROW($M$2:$M$501)-1),ROW()-1)),"")</f>
        <v/>
      </c>
      <c r="S282">
        <f t="array" ref="S282">IFERROR(INDEX($L$2:$L$501,SMALL(IF($M$2:$M$501=0,ROW($M$2:$M$501)-1),ROW()-1)),"")</f>
        <v/>
      </c>
      <c r="U282">
        <f t="array" ref="U282">IFERROR(INDEX($C$2:$C$501,SMALL(IF($D$2:$D$501="France",ROW($D$2:$D$501)-1),ROW()-1)),"")</f>
        <v/>
      </c>
      <c r="V282">
        <f t="array" ref="V282">IFERROR(INDEX($C$2:$C$501,SMALL(IF($D$2:$D$501="Germany",ROW($D$2:$D$501)-1),ROW()-1)),"")</f>
        <v/>
      </c>
      <c r="W282">
        <f t="array" ref="W282">IFERROR(INDEX($C$2:$C$501,SMALL(IF($D$2:$D$501="Spain",ROW($D$2:$D$501)-1),ROW()-1)),"")</f>
        <v/>
      </c>
    </row>
    <row r="283">
      <c r="A283" t="n">
        <v>282</v>
      </c>
      <c r="B283" t="inlineStr">
        <is>
          <t>Moore</t>
        </is>
      </c>
      <c r="C283" t="n">
        <v>731</v>
      </c>
      <c r="D283" t="inlineStr">
        <is>
          <t>France</t>
        </is>
      </c>
      <c r="E283" t="inlineStr">
        <is>
          <t>Female</t>
        </is>
      </c>
      <c r="F283" t="n">
        <v>90</v>
      </c>
      <c r="G283" t="n">
        <v>8</v>
      </c>
      <c r="H283" t="n">
        <v>183281.65</v>
      </c>
      <c r="I283" t="n">
        <v>1</v>
      </c>
      <c r="J283" t="n">
        <v>1</v>
      </c>
      <c r="K283" t="n">
        <v>1</v>
      </c>
      <c r="L283" t="n">
        <v>141248.29</v>
      </c>
      <c r="M283" t="n">
        <v>1</v>
      </c>
      <c r="O283">
        <f>IF($M283=1,$L283,"")</f>
        <v/>
      </c>
      <c r="P283">
        <f>IF($M283=0,$L283,"")</f>
        <v/>
      </c>
      <c r="R283">
        <f t="array" ref="R283">IFERROR(INDEX($L$2:$L$501,SMALL(IF($M$2:$M$501=1,ROW($M$2:$M$501)-1),ROW()-1)),"")</f>
        <v/>
      </c>
      <c r="S283">
        <f t="array" ref="S283">IFERROR(INDEX($L$2:$L$501,SMALL(IF($M$2:$M$501=0,ROW($M$2:$M$501)-1),ROW()-1)),"")</f>
        <v/>
      </c>
      <c r="U283">
        <f t="array" ref="U283">IFERROR(INDEX($C$2:$C$501,SMALL(IF($D$2:$D$501="France",ROW($D$2:$D$501)-1),ROW()-1)),"")</f>
        <v/>
      </c>
      <c r="V283">
        <f t="array" ref="V283">IFERROR(INDEX($C$2:$C$501,SMALL(IF($D$2:$D$501="Germany",ROW($D$2:$D$501)-1),ROW()-1)),"")</f>
        <v/>
      </c>
      <c r="W283">
        <f t="array" ref="W283">IFERROR(INDEX($C$2:$C$501,SMALL(IF($D$2:$D$501="Spain",ROW($D$2:$D$501)-1),ROW()-1)),"")</f>
        <v/>
      </c>
    </row>
    <row r="284">
      <c r="A284" t="n">
        <v>283</v>
      </c>
      <c r="B284" t="inlineStr">
        <is>
          <t>Brown</t>
        </is>
      </c>
      <c r="C284" t="n">
        <v>612</v>
      </c>
      <c r="D284" t="inlineStr">
        <is>
          <t>Spain</t>
        </is>
      </c>
      <c r="E284" t="inlineStr">
        <is>
          <t>Male</t>
        </is>
      </c>
      <c r="F284" t="n">
        <v>56</v>
      </c>
      <c r="G284" t="n">
        <v>9</v>
      </c>
      <c r="H284" t="n">
        <v>235159.65</v>
      </c>
      <c r="I284" t="n">
        <v>3</v>
      </c>
      <c r="J284" t="n">
        <v>0</v>
      </c>
      <c r="K284" t="n">
        <v>1</v>
      </c>
      <c r="L284" t="n">
        <v>132280.03</v>
      </c>
      <c r="M284" t="n">
        <v>1</v>
      </c>
      <c r="O284">
        <f>IF($M284=1,$L284,"")</f>
        <v/>
      </c>
      <c r="P284">
        <f>IF($M284=0,$L284,"")</f>
        <v/>
      </c>
      <c r="R284">
        <f t="array" ref="R284">IFERROR(INDEX($L$2:$L$501,SMALL(IF($M$2:$M$501=1,ROW($M$2:$M$501)-1),ROW()-1)),"")</f>
        <v/>
      </c>
      <c r="S284">
        <f t="array" ref="S284">IFERROR(INDEX($L$2:$L$501,SMALL(IF($M$2:$M$501=0,ROW($M$2:$M$501)-1),ROW()-1)),"")</f>
        <v/>
      </c>
      <c r="U284">
        <f t="array" ref="U284">IFERROR(INDEX($C$2:$C$501,SMALL(IF($D$2:$D$501="France",ROW($D$2:$D$501)-1),ROW()-1)),"")</f>
        <v/>
      </c>
      <c r="V284">
        <f t="array" ref="V284">IFERROR(INDEX($C$2:$C$501,SMALL(IF($D$2:$D$501="Germany",ROW($D$2:$D$501)-1),ROW()-1)),"")</f>
        <v/>
      </c>
      <c r="W284">
        <f t="array" ref="W284">IFERROR(INDEX($C$2:$C$501,SMALL(IF($D$2:$D$501="Spain",ROW($D$2:$D$501)-1),ROW()-1)),"")</f>
        <v/>
      </c>
    </row>
    <row r="285">
      <c r="A285" t="n">
        <v>284</v>
      </c>
      <c r="B285" t="inlineStr">
        <is>
          <t>Jones</t>
        </is>
      </c>
      <c r="C285" t="n">
        <v>452</v>
      </c>
      <c r="D285" t="inlineStr">
        <is>
          <t>France</t>
        </is>
      </c>
      <c r="E285" t="inlineStr">
        <is>
          <t>Male</t>
        </is>
      </c>
      <c r="F285" t="n">
        <v>29</v>
      </c>
      <c r="G285" t="n">
        <v>1</v>
      </c>
      <c r="H285" t="n">
        <v>28385.09</v>
      </c>
      <c r="I285" t="n">
        <v>3</v>
      </c>
      <c r="J285" t="n">
        <v>0</v>
      </c>
      <c r="K285" t="n">
        <v>1</v>
      </c>
      <c r="L285" t="n">
        <v>70010.28</v>
      </c>
      <c r="M285" t="n">
        <v>0</v>
      </c>
      <c r="O285">
        <f>IF($M285=1,$L285,"")</f>
        <v/>
      </c>
      <c r="P285">
        <f>IF($M285=0,$L285,"")</f>
        <v/>
      </c>
      <c r="R285">
        <f t="array" ref="R285">IFERROR(INDEX($L$2:$L$501,SMALL(IF($M$2:$M$501=1,ROW($M$2:$M$501)-1),ROW()-1)),"")</f>
        <v/>
      </c>
      <c r="S285">
        <f t="array" ref="S285">IFERROR(INDEX($L$2:$L$501,SMALL(IF($M$2:$M$501=0,ROW($M$2:$M$501)-1),ROW()-1)),"")</f>
        <v/>
      </c>
      <c r="U285">
        <f t="array" ref="U285">IFERROR(INDEX($C$2:$C$501,SMALL(IF($D$2:$D$501="France",ROW($D$2:$D$501)-1),ROW()-1)),"")</f>
        <v/>
      </c>
      <c r="V285">
        <f t="array" ref="V285">IFERROR(INDEX($C$2:$C$501,SMALL(IF($D$2:$D$501="Germany",ROW($D$2:$D$501)-1),ROW()-1)),"")</f>
        <v/>
      </c>
      <c r="W285">
        <f t="array" ref="W285">IFERROR(INDEX($C$2:$C$501,SMALL(IF($D$2:$D$501="Spain",ROW($D$2:$D$501)-1),ROW()-1)),"")</f>
        <v/>
      </c>
    </row>
    <row r="286">
      <c r="A286" t="n">
        <v>285</v>
      </c>
      <c r="B286" t="inlineStr">
        <is>
          <t>Jones</t>
        </is>
      </c>
      <c r="C286" t="n">
        <v>772</v>
      </c>
      <c r="D286" t="inlineStr">
        <is>
          <t>Spain</t>
        </is>
      </c>
      <c r="E286" t="inlineStr">
        <is>
          <t>Male</t>
        </is>
      </c>
      <c r="F286" t="n">
        <v>50</v>
      </c>
      <c r="G286" t="n">
        <v>1</v>
      </c>
      <c r="H286" t="n">
        <v>135560.49</v>
      </c>
      <c r="I286" t="n">
        <v>1</v>
      </c>
      <c r="J286" t="n">
        <v>0</v>
      </c>
      <c r="K286" t="n">
        <v>0</v>
      </c>
      <c r="L286" t="n">
        <v>111365.93</v>
      </c>
      <c r="M286" t="n">
        <v>1</v>
      </c>
      <c r="O286">
        <f>IF($M286=1,$L286,"")</f>
        <v/>
      </c>
      <c r="P286">
        <f>IF($M286=0,$L286,"")</f>
        <v/>
      </c>
      <c r="R286">
        <f t="array" ref="R286">IFERROR(INDEX($L$2:$L$501,SMALL(IF($M$2:$M$501=1,ROW($M$2:$M$501)-1),ROW()-1)),"")</f>
        <v/>
      </c>
      <c r="S286">
        <f t="array" ref="S286">IFERROR(INDEX($L$2:$L$501,SMALL(IF($M$2:$M$501=0,ROW($M$2:$M$501)-1),ROW()-1)),"")</f>
        <v/>
      </c>
      <c r="U286">
        <f t="array" ref="U286">IFERROR(INDEX($C$2:$C$501,SMALL(IF($D$2:$D$501="France",ROW($D$2:$D$501)-1),ROW()-1)),"")</f>
        <v/>
      </c>
      <c r="V286">
        <f t="array" ref="V286">IFERROR(INDEX($C$2:$C$501,SMALL(IF($D$2:$D$501="Germany",ROW($D$2:$D$501)-1),ROW()-1)),"")</f>
        <v/>
      </c>
      <c r="W286">
        <f t="array" ref="W286">IFERROR(INDEX($C$2:$C$501,SMALL(IF($D$2:$D$501="Spain",ROW($D$2:$D$501)-1),ROW()-1)),"")</f>
        <v/>
      </c>
    </row>
    <row r="287">
      <c r="A287" t="n">
        <v>286</v>
      </c>
      <c r="B287" t="inlineStr">
        <is>
          <t>Moore</t>
        </is>
      </c>
      <c r="C287" t="n">
        <v>681</v>
      </c>
      <c r="D287" t="inlineStr">
        <is>
          <t>Spain</t>
        </is>
      </c>
      <c r="E287" t="inlineStr">
        <is>
          <t>Female</t>
        </is>
      </c>
      <c r="F287" t="n">
        <v>68</v>
      </c>
      <c r="G287" t="n">
        <v>1</v>
      </c>
      <c r="H287" t="n">
        <v>118693.43</v>
      </c>
      <c r="I287" t="n">
        <v>1</v>
      </c>
      <c r="J287" t="n">
        <v>1</v>
      </c>
      <c r="K287" t="n">
        <v>1</v>
      </c>
      <c r="L287" t="n">
        <v>119809.36</v>
      </c>
      <c r="M287" t="n">
        <v>1</v>
      </c>
      <c r="O287">
        <f>IF($M287=1,$L287,"")</f>
        <v/>
      </c>
      <c r="P287">
        <f>IF($M287=0,$L287,"")</f>
        <v/>
      </c>
      <c r="R287">
        <f t="array" ref="R287">IFERROR(INDEX($L$2:$L$501,SMALL(IF($M$2:$M$501=1,ROW($M$2:$M$501)-1),ROW()-1)),"")</f>
        <v/>
      </c>
      <c r="S287">
        <f t="array" ref="S287">IFERROR(INDEX($L$2:$L$501,SMALL(IF($M$2:$M$501=0,ROW($M$2:$M$501)-1),ROW()-1)),"")</f>
        <v/>
      </c>
      <c r="U287">
        <f t="array" ref="U287">IFERROR(INDEX($C$2:$C$501,SMALL(IF($D$2:$D$501="France",ROW($D$2:$D$501)-1),ROW()-1)),"")</f>
        <v/>
      </c>
      <c r="V287">
        <f t="array" ref="V287">IFERROR(INDEX($C$2:$C$501,SMALL(IF($D$2:$D$501="Germany",ROW($D$2:$D$501)-1),ROW()-1)),"")</f>
        <v/>
      </c>
      <c r="W287">
        <f t="array" ref="W287">IFERROR(INDEX($C$2:$C$501,SMALL(IF($D$2:$D$501="Spain",ROW($D$2:$D$501)-1),ROW()-1)),"")</f>
        <v/>
      </c>
    </row>
    <row r="288">
      <c r="A288" t="n">
        <v>287</v>
      </c>
      <c r="B288" t="inlineStr">
        <is>
          <t>Moore</t>
        </is>
      </c>
      <c r="C288" t="n">
        <v>720</v>
      </c>
      <c r="D288" t="inlineStr">
        <is>
          <t>Spain</t>
        </is>
      </c>
      <c r="E288" t="inlineStr">
        <is>
          <t>Male</t>
        </is>
      </c>
      <c r="F288" t="n">
        <v>58</v>
      </c>
      <c r="G288" t="n">
        <v>0</v>
      </c>
      <c r="H288" t="n">
        <v>11432.08</v>
      </c>
      <c r="I288" t="n">
        <v>3</v>
      </c>
      <c r="J288" t="n">
        <v>0</v>
      </c>
      <c r="K288" t="n">
        <v>0</v>
      </c>
      <c r="L288" t="n">
        <v>56250.21</v>
      </c>
      <c r="M288" t="n">
        <v>1</v>
      </c>
      <c r="O288">
        <f>IF($M288=1,$L288,"")</f>
        <v/>
      </c>
      <c r="P288">
        <f>IF($M288=0,$L288,"")</f>
        <v/>
      </c>
      <c r="R288">
        <f t="array" ref="R288">IFERROR(INDEX($L$2:$L$501,SMALL(IF($M$2:$M$501=1,ROW($M$2:$M$501)-1),ROW()-1)),"")</f>
        <v/>
      </c>
      <c r="S288">
        <f t="array" ref="S288">IFERROR(INDEX($L$2:$L$501,SMALL(IF($M$2:$M$501=0,ROW($M$2:$M$501)-1),ROW()-1)),"")</f>
        <v/>
      </c>
      <c r="U288">
        <f t="array" ref="U288">IFERROR(INDEX($C$2:$C$501,SMALL(IF($D$2:$D$501="France",ROW($D$2:$D$501)-1),ROW()-1)),"")</f>
        <v/>
      </c>
      <c r="V288">
        <f t="array" ref="V288">IFERROR(INDEX($C$2:$C$501,SMALL(IF($D$2:$D$501="Germany",ROW($D$2:$D$501)-1),ROW()-1)),"")</f>
        <v/>
      </c>
      <c r="W288">
        <f t="array" ref="W288">IFERROR(INDEX($C$2:$C$501,SMALL(IF($D$2:$D$501="Spain",ROW($D$2:$D$501)-1),ROW()-1)),"")</f>
        <v/>
      </c>
    </row>
    <row r="289">
      <c r="A289" t="n">
        <v>288</v>
      </c>
      <c r="B289" t="inlineStr">
        <is>
          <t>Wilson</t>
        </is>
      </c>
      <c r="C289" t="n">
        <v>691</v>
      </c>
      <c r="D289" t="inlineStr">
        <is>
          <t>Germany</t>
        </is>
      </c>
      <c r="E289" t="inlineStr">
        <is>
          <t>Female</t>
        </is>
      </c>
      <c r="F289" t="n">
        <v>88</v>
      </c>
      <c r="G289" t="n">
        <v>1</v>
      </c>
      <c r="H289" t="n">
        <v>162669.36</v>
      </c>
      <c r="I289" t="n">
        <v>4</v>
      </c>
      <c r="J289" t="n">
        <v>0</v>
      </c>
      <c r="K289" t="n">
        <v>0</v>
      </c>
      <c r="L289" t="n">
        <v>71072.84</v>
      </c>
      <c r="M289" t="n">
        <v>0</v>
      </c>
      <c r="O289">
        <f>IF($M289=1,$L289,"")</f>
        <v/>
      </c>
      <c r="P289">
        <f>IF($M289=0,$L289,"")</f>
        <v/>
      </c>
      <c r="R289">
        <f t="array" ref="R289">IFERROR(INDEX($L$2:$L$501,SMALL(IF($M$2:$M$501=1,ROW($M$2:$M$501)-1),ROW()-1)),"")</f>
        <v/>
      </c>
      <c r="S289">
        <f t="array" ref="S289">IFERROR(INDEX($L$2:$L$501,SMALL(IF($M$2:$M$501=0,ROW($M$2:$M$501)-1),ROW()-1)),"")</f>
        <v/>
      </c>
      <c r="U289">
        <f t="array" ref="U289">IFERROR(INDEX($C$2:$C$501,SMALL(IF($D$2:$D$501="France",ROW($D$2:$D$501)-1),ROW()-1)),"")</f>
        <v/>
      </c>
      <c r="V289">
        <f t="array" ref="V289">IFERROR(INDEX($C$2:$C$501,SMALL(IF($D$2:$D$501="Germany",ROW($D$2:$D$501)-1),ROW()-1)),"")</f>
        <v/>
      </c>
      <c r="W289">
        <f t="array" ref="W289">IFERROR(INDEX($C$2:$C$501,SMALL(IF($D$2:$D$501="Spain",ROW($D$2:$D$501)-1),ROW()-1)),"")</f>
        <v/>
      </c>
    </row>
    <row r="290">
      <c r="A290" t="n">
        <v>289</v>
      </c>
      <c r="B290" t="inlineStr">
        <is>
          <t>Smith</t>
        </is>
      </c>
      <c r="C290" t="n">
        <v>732</v>
      </c>
      <c r="D290" t="inlineStr">
        <is>
          <t>France</t>
        </is>
      </c>
      <c r="E290" t="inlineStr">
        <is>
          <t>Female</t>
        </is>
      </c>
      <c r="F290" t="n">
        <v>48</v>
      </c>
      <c r="G290" t="n">
        <v>7</v>
      </c>
      <c r="H290" t="n">
        <v>218144.92</v>
      </c>
      <c r="I290" t="n">
        <v>4</v>
      </c>
      <c r="J290" t="n">
        <v>1</v>
      </c>
      <c r="K290" t="n">
        <v>1</v>
      </c>
      <c r="L290" t="n">
        <v>130492.75</v>
      </c>
      <c r="M290" t="n">
        <v>1</v>
      </c>
      <c r="O290">
        <f>IF($M290=1,$L290,"")</f>
        <v/>
      </c>
      <c r="P290">
        <f>IF($M290=0,$L290,"")</f>
        <v/>
      </c>
      <c r="R290">
        <f t="array" ref="R290">IFERROR(INDEX($L$2:$L$501,SMALL(IF($M$2:$M$501=1,ROW($M$2:$M$501)-1),ROW()-1)),"")</f>
        <v/>
      </c>
      <c r="S290">
        <f t="array" ref="S290">IFERROR(INDEX($L$2:$L$501,SMALL(IF($M$2:$M$501=0,ROW($M$2:$M$501)-1),ROW()-1)),"")</f>
        <v/>
      </c>
      <c r="U290">
        <f t="array" ref="U290">IFERROR(INDEX($C$2:$C$501,SMALL(IF($D$2:$D$501="France",ROW($D$2:$D$501)-1),ROW()-1)),"")</f>
        <v/>
      </c>
      <c r="V290">
        <f t="array" ref="V290">IFERROR(INDEX($C$2:$C$501,SMALL(IF($D$2:$D$501="Germany",ROW($D$2:$D$501)-1),ROW()-1)),"")</f>
        <v/>
      </c>
      <c r="W290">
        <f t="array" ref="W290">IFERROR(INDEX($C$2:$C$501,SMALL(IF($D$2:$D$501="Spain",ROW($D$2:$D$501)-1),ROW()-1)),"")</f>
        <v/>
      </c>
    </row>
    <row r="291">
      <c r="A291" t="n">
        <v>290</v>
      </c>
      <c r="B291" t="inlineStr">
        <is>
          <t>Jones</t>
        </is>
      </c>
      <c r="C291" t="n">
        <v>720</v>
      </c>
      <c r="D291" t="inlineStr">
        <is>
          <t>Germany</t>
        </is>
      </c>
      <c r="E291" t="inlineStr">
        <is>
          <t>Female</t>
        </is>
      </c>
      <c r="F291" t="n">
        <v>40</v>
      </c>
      <c r="G291" t="n">
        <v>0</v>
      </c>
      <c r="H291" t="n">
        <v>115463.15</v>
      </c>
      <c r="I291" t="n">
        <v>2</v>
      </c>
      <c r="J291" t="n">
        <v>1</v>
      </c>
      <c r="K291" t="n">
        <v>0</v>
      </c>
      <c r="L291" t="n">
        <v>11871.68</v>
      </c>
      <c r="M291" t="n">
        <v>0</v>
      </c>
      <c r="O291">
        <f>IF($M291=1,$L291,"")</f>
        <v/>
      </c>
      <c r="P291">
        <f>IF($M291=0,$L291,"")</f>
        <v/>
      </c>
      <c r="R291">
        <f t="array" ref="R291">IFERROR(INDEX($L$2:$L$501,SMALL(IF($M$2:$M$501=1,ROW($M$2:$M$501)-1),ROW()-1)),"")</f>
        <v/>
      </c>
      <c r="S291">
        <f t="array" ref="S291">IFERROR(INDEX($L$2:$L$501,SMALL(IF($M$2:$M$501=0,ROW($M$2:$M$501)-1),ROW()-1)),"")</f>
        <v/>
      </c>
      <c r="U291">
        <f t="array" ref="U291">IFERROR(INDEX($C$2:$C$501,SMALL(IF($D$2:$D$501="France",ROW($D$2:$D$501)-1),ROW()-1)),"")</f>
        <v/>
      </c>
      <c r="V291">
        <f t="array" ref="V291">IFERROR(INDEX($C$2:$C$501,SMALL(IF($D$2:$D$501="Germany",ROW($D$2:$D$501)-1),ROW()-1)),"")</f>
        <v/>
      </c>
      <c r="W291">
        <f t="array" ref="W291">IFERROR(INDEX($C$2:$C$501,SMALL(IF($D$2:$D$501="Spain",ROW($D$2:$D$501)-1),ROW()-1)),"")</f>
        <v/>
      </c>
    </row>
    <row r="292">
      <c r="A292" t="n">
        <v>291</v>
      </c>
      <c r="B292" t="inlineStr">
        <is>
          <t>Moore</t>
        </is>
      </c>
      <c r="C292" t="n">
        <v>528</v>
      </c>
      <c r="D292" t="inlineStr">
        <is>
          <t>France</t>
        </is>
      </c>
      <c r="E292" t="inlineStr">
        <is>
          <t>Female</t>
        </is>
      </c>
      <c r="F292" t="n">
        <v>53</v>
      </c>
      <c r="G292" t="n">
        <v>6</v>
      </c>
      <c r="H292" t="n">
        <v>130816.43</v>
      </c>
      <c r="I292" t="n">
        <v>3</v>
      </c>
      <c r="J292" t="n">
        <v>0</v>
      </c>
      <c r="K292" t="n">
        <v>0</v>
      </c>
      <c r="L292" t="n">
        <v>57363.12</v>
      </c>
      <c r="M292" t="n">
        <v>0</v>
      </c>
      <c r="O292">
        <f>IF($M292=1,$L292,"")</f>
        <v/>
      </c>
      <c r="P292">
        <f>IF($M292=0,$L292,"")</f>
        <v/>
      </c>
      <c r="R292">
        <f t="array" ref="R292">IFERROR(INDEX($L$2:$L$501,SMALL(IF($M$2:$M$501=1,ROW($M$2:$M$501)-1),ROW()-1)),"")</f>
        <v/>
      </c>
      <c r="S292">
        <f t="array" ref="S292">IFERROR(INDEX($L$2:$L$501,SMALL(IF($M$2:$M$501=0,ROW($M$2:$M$501)-1),ROW()-1)),"")</f>
        <v/>
      </c>
      <c r="U292">
        <f t="array" ref="U292">IFERROR(INDEX($C$2:$C$501,SMALL(IF($D$2:$D$501="France",ROW($D$2:$D$501)-1),ROW()-1)),"")</f>
        <v/>
      </c>
      <c r="V292">
        <f t="array" ref="V292">IFERROR(INDEX($C$2:$C$501,SMALL(IF($D$2:$D$501="Germany",ROW($D$2:$D$501)-1),ROW()-1)),"")</f>
        <v/>
      </c>
      <c r="W292">
        <f t="array" ref="W292">IFERROR(INDEX($C$2:$C$501,SMALL(IF($D$2:$D$501="Spain",ROW($D$2:$D$501)-1),ROW()-1)),"")</f>
        <v/>
      </c>
    </row>
    <row r="293">
      <c r="A293" t="n">
        <v>292</v>
      </c>
      <c r="B293" t="inlineStr">
        <is>
          <t>Wilson</t>
        </is>
      </c>
      <c r="C293" t="n">
        <v>657</v>
      </c>
      <c r="D293" t="inlineStr">
        <is>
          <t>Spain</t>
        </is>
      </c>
      <c r="E293" t="inlineStr">
        <is>
          <t>Female</t>
        </is>
      </c>
      <c r="F293" t="n">
        <v>86</v>
      </c>
      <c r="G293" t="n">
        <v>5</v>
      </c>
      <c r="H293" t="n">
        <v>44447.47</v>
      </c>
      <c r="I293" t="n">
        <v>2</v>
      </c>
      <c r="J293" t="n">
        <v>0</v>
      </c>
      <c r="K293" t="n">
        <v>0</v>
      </c>
      <c r="L293" t="n">
        <v>145899.54</v>
      </c>
      <c r="M293" t="n">
        <v>0</v>
      </c>
      <c r="O293">
        <f>IF($M293=1,$L293,"")</f>
        <v/>
      </c>
      <c r="P293">
        <f>IF($M293=0,$L293,"")</f>
        <v/>
      </c>
      <c r="R293">
        <f t="array" ref="R293">IFERROR(INDEX($L$2:$L$501,SMALL(IF($M$2:$M$501=1,ROW($M$2:$M$501)-1),ROW()-1)),"")</f>
        <v/>
      </c>
      <c r="S293">
        <f t="array" ref="S293">IFERROR(INDEX($L$2:$L$501,SMALL(IF($M$2:$M$501=0,ROW($M$2:$M$501)-1),ROW()-1)),"")</f>
        <v/>
      </c>
      <c r="U293">
        <f t="array" ref="U293">IFERROR(INDEX($C$2:$C$501,SMALL(IF($D$2:$D$501="France",ROW($D$2:$D$501)-1),ROW()-1)),"")</f>
        <v/>
      </c>
      <c r="V293">
        <f t="array" ref="V293">IFERROR(INDEX($C$2:$C$501,SMALL(IF($D$2:$D$501="Germany",ROW($D$2:$D$501)-1),ROW()-1)),"")</f>
        <v/>
      </c>
      <c r="W293">
        <f t="array" ref="W293">IFERROR(INDEX($C$2:$C$501,SMALL(IF($D$2:$D$501="Spain",ROW($D$2:$D$501)-1),ROW()-1)),"")</f>
        <v/>
      </c>
    </row>
    <row r="294">
      <c r="A294" t="n">
        <v>293</v>
      </c>
      <c r="B294" t="inlineStr">
        <is>
          <t>Wilson</t>
        </is>
      </c>
      <c r="C294" t="n">
        <v>608</v>
      </c>
      <c r="D294" t="inlineStr">
        <is>
          <t>Spain</t>
        </is>
      </c>
      <c r="E294" t="inlineStr">
        <is>
          <t>Female</t>
        </is>
      </c>
      <c r="F294" t="n">
        <v>81</v>
      </c>
      <c r="G294" t="n">
        <v>9</v>
      </c>
      <c r="H294" t="n">
        <v>30279.62</v>
      </c>
      <c r="I294" t="n">
        <v>1</v>
      </c>
      <c r="J294" t="n">
        <v>0</v>
      </c>
      <c r="K294" t="n">
        <v>1</v>
      </c>
      <c r="L294" t="n">
        <v>74150.78999999999</v>
      </c>
      <c r="M294" t="n">
        <v>1</v>
      </c>
      <c r="O294">
        <f>IF($M294=1,$L294,"")</f>
        <v/>
      </c>
      <c r="P294">
        <f>IF($M294=0,$L294,"")</f>
        <v/>
      </c>
      <c r="R294">
        <f t="array" ref="R294">IFERROR(INDEX($L$2:$L$501,SMALL(IF($M$2:$M$501=1,ROW($M$2:$M$501)-1),ROW()-1)),"")</f>
        <v/>
      </c>
      <c r="S294">
        <f t="array" ref="S294">IFERROR(INDEX($L$2:$L$501,SMALL(IF($M$2:$M$501=0,ROW($M$2:$M$501)-1),ROW()-1)),"")</f>
        <v/>
      </c>
      <c r="U294">
        <f t="array" ref="U294">IFERROR(INDEX($C$2:$C$501,SMALL(IF($D$2:$D$501="France",ROW($D$2:$D$501)-1),ROW()-1)),"")</f>
        <v/>
      </c>
      <c r="V294">
        <f t="array" ref="V294">IFERROR(INDEX($C$2:$C$501,SMALL(IF($D$2:$D$501="Germany",ROW($D$2:$D$501)-1),ROW()-1)),"")</f>
        <v/>
      </c>
      <c r="W294">
        <f t="array" ref="W294">IFERROR(INDEX($C$2:$C$501,SMALL(IF($D$2:$D$501="Spain",ROW($D$2:$D$501)-1),ROW()-1)),"")</f>
        <v/>
      </c>
    </row>
    <row r="295">
      <c r="A295" t="n">
        <v>294</v>
      </c>
      <c r="B295" t="inlineStr">
        <is>
          <t>Johnson</t>
        </is>
      </c>
      <c r="C295" t="n">
        <v>682</v>
      </c>
      <c r="D295" t="inlineStr">
        <is>
          <t>France</t>
        </is>
      </c>
      <c r="E295" t="inlineStr">
        <is>
          <t>Female</t>
        </is>
      </c>
      <c r="F295" t="n">
        <v>22</v>
      </c>
      <c r="G295" t="n">
        <v>8</v>
      </c>
      <c r="H295" t="n">
        <v>153461.96</v>
      </c>
      <c r="I295" t="n">
        <v>1</v>
      </c>
      <c r="J295" t="n">
        <v>0</v>
      </c>
      <c r="K295" t="n">
        <v>1</v>
      </c>
      <c r="L295" t="n">
        <v>66758.63</v>
      </c>
      <c r="M295" t="n">
        <v>0</v>
      </c>
      <c r="O295">
        <f>IF($M295=1,$L295,"")</f>
        <v/>
      </c>
      <c r="P295">
        <f>IF($M295=0,$L295,"")</f>
        <v/>
      </c>
      <c r="R295">
        <f t="array" ref="R295">IFERROR(INDEX($L$2:$L$501,SMALL(IF($M$2:$M$501=1,ROW($M$2:$M$501)-1),ROW()-1)),"")</f>
        <v/>
      </c>
      <c r="S295">
        <f t="array" ref="S295">IFERROR(INDEX($L$2:$L$501,SMALL(IF($M$2:$M$501=0,ROW($M$2:$M$501)-1),ROW()-1)),"")</f>
        <v/>
      </c>
      <c r="U295">
        <f t="array" ref="U295">IFERROR(INDEX($C$2:$C$501,SMALL(IF($D$2:$D$501="France",ROW($D$2:$D$501)-1),ROW()-1)),"")</f>
        <v/>
      </c>
      <c r="V295">
        <f t="array" ref="V295">IFERROR(INDEX($C$2:$C$501,SMALL(IF($D$2:$D$501="Germany",ROW($D$2:$D$501)-1),ROW()-1)),"")</f>
        <v/>
      </c>
      <c r="W295">
        <f t="array" ref="W295">IFERROR(INDEX($C$2:$C$501,SMALL(IF($D$2:$D$501="Spain",ROW($D$2:$D$501)-1),ROW()-1)),"")</f>
        <v/>
      </c>
    </row>
    <row r="296">
      <c r="A296" t="n">
        <v>295</v>
      </c>
      <c r="B296" t="inlineStr">
        <is>
          <t>Moore</t>
        </is>
      </c>
      <c r="C296" t="n">
        <v>507</v>
      </c>
      <c r="D296" t="inlineStr">
        <is>
          <t>France</t>
        </is>
      </c>
      <c r="E296" t="inlineStr">
        <is>
          <t>Female</t>
        </is>
      </c>
      <c r="F296" t="n">
        <v>67</v>
      </c>
      <c r="G296" t="n">
        <v>5</v>
      </c>
      <c r="H296" t="n">
        <v>179102.53</v>
      </c>
      <c r="I296" t="n">
        <v>1</v>
      </c>
      <c r="J296" t="n">
        <v>0</v>
      </c>
      <c r="K296" t="n">
        <v>0</v>
      </c>
      <c r="L296" t="n">
        <v>14556.33</v>
      </c>
      <c r="M296" t="n">
        <v>1</v>
      </c>
      <c r="O296">
        <f>IF($M296=1,$L296,"")</f>
        <v/>
      </c>
      <c r="P296">
        <f>IF($M296=0,$L296,"")</f>
        <v/>
      </c>
      <c r="R296">
        <f t="array" ref="R296">IFERROR(INDEX($L$2:$L$501,SMALL(IF($M$2:$M$501=1,ROW($M$2:$M$501)-1),ROW()-1)),"")</f>
        <v/>
      </c>
      <c r="S296">
        <f t="array" ref="S296">IFERROR(INDEX($L$2:$L$501,SMALL(IF($M$2:$M$501=0,ROW($M$2:$M$501)-1),ROW()-1)),"")</f>
        <v/>
      </c>
      <c r="U296">
        <f t="array" ref="U296">IFERROR(INDEX($C$2:$C$501,SMALL(IF($D$2:$D$501="France",ROW($D$2:$D$501)-1),ROW()-1)),"")</f>
        <v/>
      </c>
      <c r="V296">
        <f t="array" ref="V296">IFERROR(INDEX($C$2:$C$501,SMALL(IF($D$2:$D$501="Germany",ROW($D$2:$D$501)-1),ROW()-1)),"")</f>
        <v/>
      </c>
      <c r="W296">
        <f t="array" ref="W296">IFERROR(INDEX($C$2:$C$501,SMALL(IF($D$2:$D$501="Spain",ROW($D$2:$D$501)-1),ROW()-1)),"")</f>
        <v/>
      </c>
    </row>
    <row r="297">
      <c r="A297" t="n">
        <v>296</v>
      </c>
      <c r="B297" t="inlineStr">
        <is>
          <t>Brown</t>
        </is>
      </c>
      <c r="C297" t="n">
        <v>359</v>
      </c>
      <c r="D297" t="inlineStr">
        <is>
          <t>Spain</t>
        </is>
      </c>
      <c r="E297" t="inlineStr">
        <is>
          <t>Female</t>
        </is>
      </c>
      <c r="F297" t="n">
        <v>47</v>
      </c>
      <c r="G297" t="n">
        <v>6</v>
      </c>
      <c r="H297" t="n">
        <v>71875.84</v>
      </c>
      <c r="I297" t="n">
        <v>1</v>
      </c>
      <c r="J297" t="n">
        <v>0</v>
      </c>
      <c r="K297" t="n">
        <v>1</v>
      </c>
      <c r="L297" t="n">
        <v>112038.87</v>
      </c>
      <c r="M297" t="n">
        <v>0</v>
      </c>
      <c r="O297">
        <f>IF($M297=1,$L297,"")</f>
        <v/>
      </c>
      <c r="P297">
        <f>IF($M297=0,$L297,"")</f>
        <v/>
      </c>
      <c r="R297">
        <f t="array" ref="R297">IFERROR(INDEX($L$2:$L$501,SMALL(IF($M$2:$M$501=1,ROW($M$2:$M$501)-1),ROW()-1)),"")</f>
        <v/>
      </c>
      <c r="S297">
        <f t="array" ref="S297">IFERROR(INDEX($L$2:$L$501,SMALL(IF($M$2:$M$501=0,ROW($M$2:$M$501)-1),ROW()-1)),"")</f>
        <v/>
      </c>
      <c r="U297">
        <f t="array" ref="U297">IFERROR(INDEX($C$2:$C$501,SMALL(IF($D$2:$D$501="France",ROW($D$2:$D$501)-1),ROW()-1)),"")</f>
        <v/>
      </c>
      <c r="V297">
        <f t="array" ref="V297">IFERROR(INDEX($C$2:$C$501,SMALL(IF($D$2:$D$501="Germany",ROW($D$2:$D$501)-1),ROW()-1)),"")</f>
        <v/>
      </c>
      <c r="W297">
        <f t="array" ref="W297">IFERROR(INDEX($C$2:$C$501,SMALL(IF($D$2:$D$501="Spain",ROW($D$2:$D$501)-1),ROW()-1)),"")</f>
        <v/>
      </c>
    </row>
    <row r="298">
      <c r="A298" t="n">
        <v>297</v>
      </c>
      <c r="B298" t="inlineStr">
        <is>
          <t>Wilson</t>
        </is>
      </c>
      <c r="C298" t="n">
        <v>465</v>
      </c>
      <c r="D298" t="inlineStr">
        <is>
          <t>France</t>
        </is>
      </c>
      <c r="E298" t="inlineStr">
        <is>
          <t>Male</t>
        </is>
      </c>
      <c r="F298" t="n">
        <v>81</v>
      </c>
      <c r="G298" t="n">
        <v>8</v>
      </c>
      <c r="H298" t="n">
        <v>124862.63</v>
      </c>
      <c r="I298" t="n">
        <v>4</v>
      </c>
      <c r="J298" t="n">
        <v>1</v>
      </c>
      <c r="K298" t="n">
        <v>1</v>
      </c>
      <c r="L298" t="n">
        <v>141751.96</v>
      </c>
      <c r="M298" t="n">
        <v>0</v>
      </c>
      <c r="O298">
        <f>IF($M298=1,$L298,"")</f>
        <v/>
      </c>
      <c r="P298">
        <f>IF($M298=0,$L298,"")</f>
        <v/>
      </c>
      <c r="R298">
        <f t="array" ref="R298">IFERROR(INDEX($L$2:$L$501,SMALL(IF($M$2:$M$501=1,ROW($M$2:$M$501)-1),ROW()-1)),"")</f>
        <v/>
      </c>
      <c r="S298">
        <f t="array" ref="S298">IFERROR(INDEX($L$2:$L$501,SMALL(IF($M$2:$M$501=0,ROW($M$2:$M$501)-1),ROW()-1)),"")</f>
        <v/>
      </c>
      <c r="U298">
        <f t="array" ref="U298">IFERROR(INDEX($C$2:$C$501,SMALL(IF($D$2:$D$501="France",ROW($D$2:$D$501)-1),ROW()-1)),"")</f>
        <v/>
      </c>
      <c r="V298">
        <f t="array" ref="V298">IFERROR(INDEX($C$2:$C$501,SMALL(IF($D$2:$D$501="Germany",ROW($D$2:$D$501)-1),ROW()-1)),"")</f>
        <v/>
      </c>
      <c r="W298">
        <f t="array" ref="W298">IFERROR(INDEX($C$2:$C$501,SMALL(IF($D$2:$D$501="Spain",ROW($D$2:$D$501)-1),ROW()-1)),"")</f>
        <v/>
      </c>
    </row>
    <row r="299">
      <c r="A299" t="n">
        <v>298</v>
      </c>
      <c r="B299" t="inlineStr">
        <is>
          <t>Smith</t>
        </is>
      </c>
      <c r="C299" t="n">
        <v>806</v>
      </c>
      <c r="D299" t="inlineStr">
        <is>
          <t>France</t>
        </is>
      </c>
      <c r="E299" t="inlineStr">
        <is>
          <t>Female</t>
        </is>
      </c>
      <c r="F299" t="n">
        <v>79</v>
      </c>
      <c r="G299" t="n">
        <v>1</v>
      </c>
      <c r="H299" t="n">
        <v>239514.85</v>
      </c>
      <c r="I299" t="n">
        <v>1</v>
      </c>
      <c r="J299" t="n">
        <v>0</v>
      </c>
      <c r="K299" t="n">
        <v>0</v>
      </c>
      <c r="L299" t="n">
        <v>107683.81</v>
      </c>
      <c r="M299" t="n">
        <v>1</v>
      </c>
      <c r="O299">
        <f>IF($M299=1,$L299,"")</f>
        <v/>
      </c>
      <c r="P299">
        <f>IF($M299=0,$L299,"")</f>
        <v/>
      </c>
      <c r="R299">
        <f t="array" ref="R299">IFERROR(INDEX($L$2:$L$501,SMALL(IF($M$2:$M$501=1,ROW($M$2:$M$501)-1),ROW()-1)),"")</f>
        <v/>
      </c>
      <c r="S299">
        <f t="array" ref="S299">IFERROR(INDEX($L$2:$L$501,SMALL(IF($M$2:$M$501=0,ROW($M$2:$M$501)-1),ROW()-1)),"")</f>
        <v/>
      </c>
      <c r="U299">
        <f t="array" ref="U299">IFERROR(INDEX($C$2:$C$501,SMALL(IF($D$2:$D$501="France",ROW($D$2:$D$501)-1),ROW()-1)),"")</f>
        <v/>
      </c>
      <c r="V299">
        <f t="array" ref="V299">IFERROR(INDEX($C$2:$C$501,SMALL(IF($D$2:$D$501="Germany",ROW($D$2:$D$501)-1),ROW()-1)),"")</f>
        <v/>
      </c>
      <c r="W299">
        <f t="array" ref="W299">IFERROR(INDEX($C$2:$C$501,SMALL(IF($D$2:$D$501="Spain",ROW($D$2:$D$501)-1),ROW()-1)),"")</f>
        <v/>
      </c>
    </row>
    <row r="300">
      <c r="A300" t="n">
        <v>299</v>
      </c>
      <c r="B300" t="inlineStr">
        <is>
          <t>Brown</t>
        </is>
      </c>
      <c r="C300" t="n">
        <v>739</v>
      </c>
      <c r="D300" t="inlineStr">
        <is>
          <t>Germany</t>
        </is>
      </c>
      <c r="E300" t="inlineStr">
        <is>
          <t>Female</t>
        </is>
      </c>
      <c r="F300" t="n">
        <v>44</v>
      </c>
      <c r="G300" t="n">
        <v>4</v>
      </c>
      <c r="H300" t="n">
        <v>8330.889999999999</v>
      </c>
      <c r="I300" t="n">
        <v>1</v>
      </c>
      <c r="J300" t="n">
        <v>0</v>
      </c>
      <c r="K300" t="n">
        <v>1</v>
      </c>
      <c r="L300" t="n">
        <v>102035.16</v>
      </c>
      <c r="M300" t="n">
        <v>1</v>
      </c>
      <c r="O300">
        <f>IF($M300=1,$L300,"")</f>
        <v/>
      </c>
      <c r="P300">
        <f>IF($M300=0,$L300,"")</f>
        <v/>
      </c>
      <c r="R300">
        <f t="array" ref="R300">IFERROR(INDEX($L$2:$L$501,SMALL(IF($M$2:$M$501=1,ROW($M$2:$M$501)-1),ROW()-1)),"")</f>
        <v/>
      </c>
      <c r="S300">
        <f t="array" ref="S300">IFERROR(INDEX($L$2:$L$501,SMALL(IF($M$2:$M$501=0,ROW($M$2:$M$501)-1),ROW()-1)),"")</f>
        <v/>
      </c>
      <c r="U300">
        <f t="array" ref="U300">IFERROR(INDEX($C$2:$C$501,SMALL(IF($D$2:$D$501="France",ROW($D$2:$D$501)-1),ROW()-1)),"")</f>
        <v/>
      </c>
      <c r="V300">
        <f t="array" ref="V300">IFERROR(INDEX($C$2:$C$501,SMALL(IF($D$2:$D$501="Germany",ROW($D$2:$D$501)-1),ROW()-1)),"")</f>
        <v/>
      </c>
      <c r="W300">
        <f t="array" ref="W300">IFERROR(INDEX($C$2:$C$501,SMALL(IF($D$2:$D$501="Spain",ROW($D$2:$D$501)-1),ROW()-1)),"")</f>
        <v/>
      </c>
    </row>
    <row r="301">
      <c r="A301" t="n">
        <v>300</v>
      </c>
      <c r="B301" t="inlineStr">
        <is>
          <t>Taylor</t>
        </is>
      </c>
      <c r="C301" t="n">
        <v>466</v>
      </c>
      <c r="D301" t="inlineStr">
        <is>
          <t>Spain</t>
        </is>
      </c>
      <c r="E301" t="inlineStr">
        <is>
          <t>Female</t>
        </is>
      </c>
      <c r="F301" t="n">
        <v>91</v>
      </c>
      <c r="G301" t="n">
        <v>5</v>
      </c>
      <c r="H301" t="n">
        <v>58953.35</v>
      </c>
      <c r="I301" t="n">
        <v>4</v>
      </c>
      <c r="J301" t="n">
        <v>1</v>
      </c>
      <c r="K301" t="n">
        <v>0</v>
      </c>
      <c r="L301" t="n">
        <v>140486.14</v>
      </c>
      <c r="M301" t="n">
        <v>1</v>
      </c>
      <c r="O301">
        <f>IF($M301=1,$L301,"")</f>
        <v/>
      </c>
      <c r="P301">
        <f>IF($M301=0,$L301,"")</f>
        <v/>
      </c>
      <c r="R301">
        <f t="array" ref="R301">IFERROR(INDEX($L$2:$L$501,SMALL(IF($M$2:$M$501=1,ROW($M$2:$M$501)-1),ROW()-1)),"")</f>
        <v/>
      </c>
      <c r="S301">
        <f t="array" ref="S301">IFERROR(INDEX($L$2:$L$501,SMALL(IF($M$2:$M$501=0,ROW($M$2:$M$501)-1),ROW()-1)),"")</f>
        <v/>
      </c>
      <c r="U301">
        <f t="array" ref="U301">IFERROR(INDEX($C$2:$C$501,SMALL(IF($D$2:$D$501="France",ROW($D$2:$D$501)-1),ROW()-1)),"")</f>
        <v/>
      </c>
      <c r="V301">
        <f t="array" ref="V301">IFERROR(INDEX($C$2:$C$501,SMALL(IF($D$2:$D$501="Germany",ROW($D$2:$D$501)-1),ROW()-1)),"")</f>
        <v/>
      </c>
      <c r="W301">
        <f t="array" ref="W301">IFERROR(INDEX($C$2:$C$501,SMALL(IF($D$2:$D$501="Spain",ROW($D$2:$D$501)-1),ROW()-1)),"")</f>
        <v/>
      </c>
    </row>
    <row r="302">
      <c r="A302" t="n">
        <v>301</v>
      </c>
      <c r="B302" t="inlineStr">
        <is>
          <t>Smith</t>
        </is>
      </c>
      <c r="C302" t="n">
        <v>531</v>
      </c>
      <c r="D302" t="inlineStr">
        <is>
          <t>Germany</t>
        </is>
      </c>
      <c r="E302" t="inlineStr">
        <is>
          <t>Female</t>
        </is>
      </c>
      <c r="F302" t="n">
        <v>68</v>
      </c>
      <c r="G302" t="n">
        <v>9</v>
      </c>
      <c r="H302" t="n">
        <v>25763.31</v>
      </c>
      <c r="I302" t="n">
        <v>1</v>
      </c>
      <c r="J302" t="n">
        <v>1</v>
      </c>
      <c r="K302" t="n">
        <v>1</v>
      </c>
      <c r="L302" t="n">
        <v>31564.75</v>
      </c>
      <c r="M302" t="n">
        <v>0</v>
      </c>
      <c r="O302">
        <f>IF($M302=1,$L302,"")</f>
        <v/>
      </c>
      <c r="P302">
        <f>IF($M302=0,$L302,"")</f>
        <v/>
      </c>
      <c r="R302">
        <f t="array" ref="R302">IFERROR(INDEX($L$2:$L$501,SMALL(IF($M$2:$M$501=1,ROW($M$2:$M$501)-1),ROW()-1)),"")</f>
        <v/>
      </c>
      <c r="S302">
        <f t="array" ref="S302">IFERROR(INDEX($L$2:$L$501,SMALL(IF($M$2:$M$501=0,ROW($M$2:$M$501)-1),ROW()-1)),"")</f>
        <v/>
      </c>
      <c r="U302">
        <f t="array" ref="U302">IFERROR(INDEX($C$2:$C$501,SMALL(IF($D$2:$D$501="France",ROW($D$2:$D$501)-1),ROW()-1)),"")</f>
        <v/>
      </c>
      <c r="V302">
        <f t="array" ref="V302">IFERROR(INDEX($C$2:$C$501,SMALL(IF($D$2:$D$501="Germany",ROW($D$2:$D$501)-1),ROW()-1)),"")</f>
        <v/>
      </c>
      <c r="W302">
        <f t="array" ref="W302">IFERROR(INDEX($C$2:$C$501,SMALL(IF($D$2:$D$501="Spain",ROW($D$2:$D$501)-1),ROW()-1)),"")</f>
        <v/>
      </c>
    </row>
    <row r="303">
      <c r="A303" t="n">
        <v>302</v>
      </c>
      <c r="B303" t="inlineStr">
        <is>
          <t>Miller</t>
        </is>
      </c>
      <c r="C303" t="n">
        <v>585</v>
      </c>
      <c r="D303" t="inlineStr">
        <is>
          <t>Spain</t>
        </is>
      </c>
      <c r="E303" t="inlineStr">
        <is>
          <t>Male</t>
        </is>
      </c>
      <c r="F303" t="n">
        <v>35</v>
      </c>
      <c r="G303" t="n">
        <v>0</v>
      </c>
      <c r="H303" t="n">
        <v>205498.11</v>
      </c>
      <c r="I303" t="n">
        <v>2</v>
      </c>
      <c r="J303" t="n">
        <v>0</v>
      </c>
      <c r="K303" t="n">
        <v>1</v>
      </c>
      <c r="L303" t="n">
        <v>24566</v>
      </c>
      <c r="M303" t="n">
        <v>1</v>
      </c>
      <c r="O303">
        <f>IF($M303=1,$L303,"")</f>
        <v/>
      </c>
      <c r="P303">
        <f>IF($M303=0,$L303,"")</f>
        <v/>
      </c>
      <c r="R303">
        <f t="array" ref="R303">IFERROR(INDEX($L$2:$L$501,SMALL(IF($M$2:$M$501=1,ROW($M$2:$M$501)-1),ROW()-1)),"")</f>
        <v/>
      </c>
      <c r="S303">
        <f t="array" ref="S303">IFERROR(INDEX($L$2:$L$501,SMALL(IF($M$2:$M$501=0,ROW($M$2:$M$501)-1),ROW()-1)),"")</f>
        <v/>
      </c>
      <c r="U303">
        <f t="array" ref="U303">IFERROR(INDEX($C$2:$C$501,SMALL(IF($D$2:$D$501="France",ROW($D$2:$D$501)-1),ROW()-1)),"")</f>
        <v/>
      </c>
      <c r="V303">
        <f t="array" ref="V303">IFERROR(INDEX($C$2:$C$501,SMALL(IF($D$2:$D$501="Germany",ROW($D$2:$D$501)-1),ROW()-1)),"")</f>
        <v/>
      </c>
      <c r="W303">
        <f t="array" ref="W303">IFERROR(INDEX($C$2:$C$501,SMALL(IF($D$2:$D$501="Spain",ROW($D$2:$D$501)-1),ROW()-1)),"")</f>
        <v/>
      </c>
    </row>
    <row r="304">
      <c r="A304" t="n">
        <v>303</v>
      </c>
      <c r="B304" t="inlineStr">
        <is>
          <t>Brown</t>
        </is>
      </c>
      <c r="C304" t="n">
        <v>543</v>
      </c>
      <c r="D304" t="inlineStr">
        <is>
          <t>Germany</t>
        </is>
      </c>
      <c r="E304" t="inlineStr">
        <is>
          <t>Male</t>
        </is>
      </c>
      <c r="F304" t="n">
        <v>89</v>
      </c>
      <c r="G304" t="n">
        <v>5</v>
      </c>
      <c r="H304" t="n">
        <v>248060.86</v>
      </c>
      <c r="I304" t="n">
        <v>3</v>
      </c>
      <c r="J304" t="n">
        <v>0</v>
      </c>
      <c r="K304" t="n">
        <v>0</v>
      </c>
      <c r="L304" t="n">
        <v>105985.33</v>
      </c>
      <c r="M304" t="n">
        <v>1</v>
      </c>
      <c r="O304">
        <f>IF($M304=1,$L304,"")</f>
        <v/>
      </c>
      <c r="P304">
        <f>IF($M304=0,$L304,"")</f>
        <v/>
      </c>
      <c r="R304">
        <f t="array" ref="R304">IFERROR(INDEX($L$2:$L$501,SMALL(IF($M$2:$M$501=1,ROW($M$2:$M$501)-1),ROW()-1)),"")</f>
        <v/>
      </c>
      <c r="S304">
        <f t="array" ref="S304">IFERROR(INDEX($L$2:$L$501,SMALL(IF($M$2:$M$501=0,ROW($M$2:$M$501)-1),ROW()-1)),"")</f>
        <v/>
      </c>
      <c r="U304">
        <f t="array" ref="U304">IFERROR(INDEX($C$2:$C$501,SMALL(IF($D$2:$D$501="France",ROW($D$2:$D$501)-1),ROW()-1)),"")</f>
        <v/>
      </c>
      <c r="V304">
        <f t="array" ref="V304">IFERROR(INDEX($C$2:$C$501,SMALL(IF($D$2:$D$501="Germany",ROW($D$2:$D$501)-1),ROW()-1)),"")</f>
        <v/>
      </c>
      <c r="W304">
        <f t="array" ref="W304">IFERROR(INDEX($C$2:$C$501,SMALL(IF($D$2:$D$501="Spain",ROW($D$2:$D$501)-1),ROW()-1)),"")</f>
        <v/>
      </c>
    </row>
    <row r="305">
      <c r="A305" t="n">
        <v>304</v>
      </c>
      <c r="B305" t="inlineStr">
        <is>
          <t>Williams</t>
        </is>
      </c>
      <c r="C305" t="n">
        <v>649</v>
      </c>
      <c r="D305" t="inlineStr">
        <is>
          <t>France</t>
        </is>
      </c>
      <c r="E305" t="inlineStr">
        <is>
          <t>Male</t>
        </is>
      </c>
      <c r="F305" t="n">
        <v>74</v>
      </c>
      <c r="G305" t="n">
        <v>6</v>
      </c>
      <c r="H305" t="n">
        <v>39932.25</v>
      </c>
      <c r="I305" t="n">
        <v>3</v>
      </c>
      <c r="J305" t="n">
        <v>1</v>
      </c>
      <c r="K305" t="n">
        <v>0</v>
      </c>
      <c r="L305" t="n">
        <v>20310.53</v>
      </c>
      <c r="M305" t="n">
        <v>0</v>
      </c>
      <c r="O305">
        <f>IF($M305=1,$L305,"")</f>
        <v/>
      </c>
      <c r="P305">
        <f>IF($M305=0,$L305,"")</f>
        <v/>
      </c>
      <c r="R305">
        <f t="array" ref="R305">IFERROR(INDEX($L$2:$L$501,SMALL(IF($M$2:$M$501=1,ROW($M$2:$M$501)-1),ROW()-1)),"")</f>
        <v/>
      </c>
      <c r="S305">
        <f t="array" ref="S305">IFERROR(INDEX($L$2:$L$501,SMALL(IF($M$2:$M$501=0,ROW($M$2:$M$501)-1),ROW()-1)),"")</f>
        <v/>
      </c>
      <c r="U305">
        <f t="array" ref="U305">IFERROR(INDEX($C$2:$C$501,SMALL(IF($D$2:$D$501="France",ROW($D$2:$D$501)-1),ROW()-1)),"")</f>
        <v/>
      </c>
      <c r="V305">
        <f t="array" ref="V305">IFERROR(INDEX($C$2:$C$501,SMALL(IF($D$2:$D$501="Germany",ROW($D$2:$D$501)-1),ROW()-1)),"")</f>
        <v/>
      </c>
      <c r="W305">
        <f t="array" ref="W305">IFERROR(INDEX($C$2:$C$501,SMALL(IF($D$2:$D$501="Spain",ROW($D$2:$D$501)-1),ROW()-1)),"")</f>
        <v/>
      </c>
    </row>
    <row r="306">
      <c r="A306" t="n">
        <v>305</v>
      </c>
      <c r="B306" t="inlineStr">
        <is>
          <t>Brown</t>
        </is>
      </c>
      <c r="C306" t="n">
        <v>429</v>
      </c>
      <c r="D306" t="inlineStr">
        <is>
          <t>France</t>
        </is>
      </c>
      <c r="E306" t="inlineStr">
        <is>
          <t>Male</t>
        </is>
      </c>
      <c r="F306" t="n">
        <v>53</v>
      </c>
      <c r="G306" t="n">
        <v>9</v>
      </c>
      <c r="H306" t="n">
        <v>187975.23</v>
      </c>
      <c r="I306" t="n">
        <v>1</v>
      </c>
      <c r="J306" t="n">
        <v>1</v>
      </c>
      <c r="K306" t="n">
        <v>0</v>
      </c>
      <c r="L306" t="n">
        <v>137236.54</v>
      </c>
      <c r="M306" t="n">
        <v>1</v>
      </c>
      <c r="O306">
        <f>IF($M306=1,$L306,"")</f>
        <v/>
      </c>
      <c r="P306">
        <f>IF($M306=0,$L306,"")</f>
        <v/>
      </c>
      <c r="R306">
        <f t="array" ref="R306">IFERROR(INDEX($L$2:$L$501,SMALL(IF($M$2:$M$501=1,ROW($M$2:$M$501)-1),ROW()-1)),"")</f>
        <v/>
      </c>
      <c r="S306">
        <f t="array" ref="S306">IFERROR(INDEX($L$2:$L$501,SMALL(IF($M$2:$M$501=0,ROW($M$2:$M$501)-1),ROW()-1)),"")</f>
        <v/>
      </c>
      <c r="U306">
        <f t="array" ref="U306">IFERROR(INDEX($C$2:$C$501,SMALL(IF($D$2:$D$501="France",ROW($D$2:$D$501)-1),ROW()-1)),"")</f>
        <v/>
      </c>
      <c r="V306">
        <f t="array" ref="V306">IFERROR(INDEX($C$2:$C$501,SMALL(IF($D$2:$D$501="Germany",ROW($D$2:$D$501)-1),ROW()-1)),"")</f>
        <v/>
      </c>
      <c r="W306">
        <f t="array" ref="W306">IFERROR(INDEX($C$2:$C$501,SMALL(IF($D$2:$D$501="Spain",ROW($D$2:$D$501)-1),ROW()-1)),"")</f>
        <v/>
      </c>
    </row>
    <row r="307">
      <c r="A307" t="n">
        <v>306</v>
      </c>
      <c r="B307" t="inlineStr">
        <is>
          <t>Miller</t>
        </is>
      </c>
      <c r="C307" t="n">
        <v>412</v>
      </c>
      <c r="D307" t="inlineStr">
        <is>
          <t>Spain</t>
        </is>
      </c>
      <c r="E307" t="inlineStr">
        <is>
          <t>Female</t>
        </is>
      </c>
      <c r="F307" t="n">
        <v>91</v>
      </c>
      <c r="G307" t="n">
        <v>1</v>
      </c>
      <c r="H307" t="n">
        <v>71844.74000000001</v>
      </c>
      <c r="I307" t="n">
        <v>1</v>
      </c>
      <c r="J307" t="n">
        <v>0</v>
      </c>
      <c r="K307" t="n">
        <v>1</v>
      </c>
      <c r="L307" t="n">
        <v>105880.01</v>
      </c>
      <c r="M307" t="n">
        <v>0</v>
      </c>
      <c r="O307">
        <f>IF($M307=1,$L307,"")</f>
        <v/>
      </c>
      <c r="P307">
        <f>IF($M307=0,$L307,"")</f>
        <v/>
      </c>
      <c r="R307">
        <f t="array" ref="R307">IFERROR(INDEX($L$2:$L$501,SMALL(IF($M$2:$M$501=1,ROW($M$2:$M$501)-1),ROW()-1)),"")</f>
        <v/>
      </c>
      <c r="S307">
        <f t="array" ref="S307">IFERROR(INDEX($L$2:$L$501,SMALL(IF($M$2:$M$501=0,ROW($M$2:$M$501)-1),ROW()-1)),"")</f>
        <v/>
      </c>
      <c r="U307">
        <f t="array" ref="U307">IFERROR(INDEX($C$2:$C$501,SMALL(IF($D$2:$D$501="France",ROW($D$2:$D$501)-1),ROW()-1)),"")</f>
        <v/>
      </c>
      <c r="V307">
        <f t="array" ref="V307">IFERROR(INDEX($C$2:$C$501,SMALL(IF($D$2:$D$501="Germany",ROW($D$2:$D$501)-1),ROW()-1)),"")</f>
        <v/>
      </c>
      <c r="W307">
        <f t="array" ref="W307">IFERROR(INDEX($C$2:$C$501,SMALL(IF($D$2:$D$501="Spain",ROW($D$2:$D$501)-1),ROW()-1)),"")</f>
        <v/>
      </c>
    </row>
    <row r="308">
      <c r="A308" t="n">
        <v>307</v>
      </c>
      <c r="B308" t="inlineStr">
        <is>
          <t>Jones</t>
        </is>
      </c>
      <c r="C308" t="n">
        <v>682</v>
      </c>
      <c r="D308" t="inlineStr">
        <is>
          <t>Spain</t>
        </is>
      </c>
      <c r="E308" t="inlineStr">
        <is>
          <t>Female</t>
        </is>
      </c>
      <c r="F308" t="n">
        <v>65</v>
      </c>
      <c r="G308" t="n">
        <v>1</v>
      </c>
      <c r="H308" t="n">
        <v>82186.16</v>
      </c>
      <c r="I308" t="n">
        <v>1</v>
      </c>
      <c r="J308" t="n">
        <v>1</v>
      </c>
      <c r="K308" t="n">
        <v>0</v>
      </c>
      <c r="L308" t="n">
        <v>118581.88</v>
      </c>
      <c r="M308" t="n">
        <v>0</v>
      </c>
      <c r="O308">
        <f>IF($M308=1,$L308,"")</f>
        <v/>
      </c>
      <c r="P308">
        <f>IF($M308=0,$L308,"")</f>
        <v/>
      </c>
      <c r="R308">
        <f t="array" ref="R308">IFERROR(INDEX($L$2:$L$501,SMALL(IF($M$2:$M$501=1,ROW($M$2:$M$501)-1),ROW()-1)),"")</f>
        <v/>
      </c>
      <c r="S308">
        <f t="array" ref="S308">IFERROR(INDEX($L$2:$L$501,SMALL(IF($M$2:$M$501=0,ROW($M$2:$M$501)-1),ROW()-1)),"")</f>
        <v/>
      </c>
      <c r="U308">
        <f t="array" ref="U308">IFERROR(INDEX($C$2:$C$501,SMALL(IF($D$2:$D$501="France",ROW($D$2:$D$501)-1),ROW()-1)),"")</f>
        <v/>
      </c>
      <c r="V308">
        <f t="array" ref="V308">IFERROR(INDEX($C$2:$C$501,SMALL(IF($D$2:$D$501="Germany",ROW($D$2:$D$501)-1),ROW()-1)),"")</f>
        <v/>
      </c>
      <c r="W308">
        <f t="array" ref="W308">IFERROR(INDEX($C$2:$C$501,SMALL(IF($D$2:$D$501="Spain",ROW($D$2:$D$501)-1),ROW()-1)),"")</f>
        <v/>
      </c>
    </row>
    <row r="309">
      <c r="A309" t="n">
        <v>308</v>
      </c>
      <c r="B309" t="inlineStr">
        <is>
          <t>Jones</t>
        </is>
      </c>
      <c r="C309" t="n">
        <v>397</v>
      </c>
      <c r="D309" t="inlineStr">
        <is>
          <t>Spain</t>
        </is>
      </c>
      <c r="E309" t="inlineStr">
        <is>
          <t>Female</t>
        </is>
      </c>
      <c r="F309" t="n">
        <v>66</v>
      </c>
      <c r="G309" t="n">
        <v>3</v>
      </c>
      <c r="H309" t="n">
        <v>232462.02</v>
      </c>
      <c r="I309" t="n">
        <v>4</v>
      </c>
      <c r="J309" t="n">
        <v>1</v>
      </c>
      <c r="K309" t="n">
        <v>1</v>
      </c>
      <c r="L309" t="n">
        <v>135716.11</v>
      </c>
      <c r="M309" t="n">
        <v>1</v>
      </c>
      <c r="O309">
        <f>IF($M309=1,$L309,"")</f>
        <v/>
      </c>
      <c r="P309">
        <f>IF($M309=0,$L309,"")</f>
        <v/>
      </c>
      <c r="R309">
        <f t="array" ref="R309">IFERROR(INDEX($L$2:$L$501,SMALL(IF($M$2:$M$501=1,ROW($M$2:$M$501)-1),ROW()-1)),"")</f>
        <v/>
      </c>
      <c r="S309">
        <f t="array" ref="S309">IFERROR(INDEX($L$2:$L$501,SMALL(IF($M$2:$M$501=0,ROW($M$2:$M$501)-1),ROW()-1)),"")</f>
        <v/>
      </c>
      <c r="U309">
        <f t="array" ref="U309">IFERROR(INDEX($C$2:$C$501,SMALL(IF($D$2:$D$501="France",ROW($D$2:$D$501)-1),ROW()-1)),"")</f>
        <v/>
      </c>
      <c r="V309">
        <f t="array" ref="V309">IFERROR(INDEX($C$2:$C$501,SMALL(IF($D$2:$D$501="Germany",ROW($D$2:$D$501)-1),ROW()-1)),"")</f>
        <v/>
      </c>
      <c r="W309">
        <f t="array" ref="W309">IFERROR(INDEX($C$2:$C$501,SMALL(IF($D$2:$D$501="Spain",ROW($D$2:$D$501)-1),ROW()-1)),"")</f>
        <v/>
      </c>
    </row>
    <row r="310">
      <c r="A310" t="n">
        <v>309</v>
      </c>
      <c r="B310" t="inlineStr">
        <is>
          <t>Wilson</t>
        </is>
      </c>
      <c r="C310" t="n">
        <v>426</v>
      </c>
      <c r="D310" t="inlineStr">
        <is>
          <t>Germany</t>
        </is>
      </c>
      <c r="E310" t="inlineStr">
        <is>
          <t>Male</t>
        </is>
      </c>
      <c r="F310" t="n">
        <v>89</v>
      </c>
      <c r="G310" t="n">
        <v>1</v>
      </c>
      <c r="H310" t="n">
        <v>178130.78</v>
      </c>
      <c r="I310" t="n">
        <v>3</v>
      </c>
      <c r="J310" t="n">
        <v>0</v>
      </c>
      <c r="K310" t="n">
        <v>1</v>
      </c>
      <c r="L310" t="n">
        <v>21570.41</v>
      </c>
      <c r="M310" t="n">
        <v>0</v>
      </c>
      <c r="O310">
        <f>IF($M310=1,$L310,"")</f>
        <v/>
      </c>
      <c r="P310">
        <f>IF($M310=0,$L310,"")</f>
        <v/>
      </c>
      <c r="R310">
        <f t="array" ref="R310">IFERROR(INDEX($L$2:$L$501,SMALL(IF($M$2:$M$501=1,ROW($M$2:$M$501)-1),ROW()-1)),"")</f>
        <v/>
      </c>
      <c r="S310">
        <f t="array" ref="S310">IFERROR(INDEX($L$2:$L$501,SMALL(IF($M$2:$M$501=0,ROW($M$2:$M$501)-1),ROW()-1)),"")</f>
        <v/>
      </c>
      <c r="U310">
        <f t="array" ref="U310">IFERROR(INDEX($C$2:$C$501,SMALL(IF($D$2:$D$501="France",ROW($D$2:$D$501)-1),ROW()-1)),"")</f>
        <v/>
      </c>
      <c r="V310">
        <f t="array" ref="V310">IFERROR(INDEX($C$2:$C$501,SMALL(IF($D$2:$D$501="Germany",ROW($D$2:$D$501)-1),ROW()-1)),"")</f>
        <v/>
      </c>
      <c r="W310">
        <f t="array" ref="W310">IFERROR(INDEX($C$2:$C$501,SMALL(IF($D$2:$D$501="Spain",ROW($D$2:$D$501)-1),ROW()-1)),"")</f>
        <v/>
      </c>
    </row>
    <row r="311">
      <c r="A311" t="n">
        <v>310</v>
      </c>
      <c r="B311" t="inlineStr">
        <is>
          <t>Moore</t>
        </is>
      </c>
      <c r="C311" t="n">
        <v>499</v>
      </c>
      <c r="D311" t="inlineStr">
        <is>
          <t>Spain</t>
        </is>
      </c>
      <c r="E311" t="inlineStr">
        <is>
          <t>Female</t>
        </is>
      </c>
      <c r="F311" t="n">
        <v>85</v>
      </c>
      <c r="G311" t="n">
        <v>10</v>
      </c>
      <c r="H311" t="n">
        <v>203018.63</v>
      </c>
      <c r="I311" t="n">
        <v>2</v>
      </c>
      <c r="J311" t="n">
        <v>1</v>
      </c>
      <c r="K311" t="n">
        <v>1</v>
      </c>
      <c r="L311" t="n">
        <v>57175.83</v>
      </c>
      <c r="M311" t="n">
        <v>1</v>
      </c>
      <c r="O311">
        <f>IF($M311=1,$L311,"")</f>
        <v/>
      </c>
      <c r="P311">
        <f>IF($M311=0,$L311,"")</f>
        <v/>
      </c>
      <c r="R311">
        <f t="array" ref="R311">IFERROR(INDEX($L$2:$L$501,SMALL(IF($M$2:$M$501=1,ROW($M$2:$M$501)-1),ROW()-1)),"")</f>
        <v/>
      </c>
      <c r="S311">
        <f t="array" ref="S311">IFERROR(INDEX($L$2:$L$501,SMALL(IF($M$2:$M$501=0,ROW($M$2:$M$501)-1),ROW()-1)),"")</f>
        <v/>
      </c>
      <c r="U311">
        <f t="array" ref="U311">IFERROR(INDEX($C$2:$C$501,SMALL(IF($D$2:$D$501="France",ROW($D$2:$D$501)-1),ROW()-1)),"")</f>
        <v/>
      </c>
      <c r="V311">
        <f t="array" ref="V311">IFERROR(INDEX($C$2:$C$501,SMALL(IF($D$2:$D$501="Germany",ROW($D$2:$D$501)-1),ROW()-1)),"")</f>
        <v/>
      </c>
      <c r="W311">
        <f t="array" ref="W311">IFERROR(INDEX($C$2:$C$501,SMALL(IF($D$2:$D$501="Spain",ROW($D$2:$D$501)-1),ROW()-1)),"")</f>
        <v/>
      </c>
    </row>
    <row r="312">
      <c r="A312" t="n">
        <v>311</v>
      </c>
      <c r="B312" t="inlineStr">
        <is>
          <t>Davis</t>
        </is>
      </c>
      <c r="C312" t="n">
        <v>470</v>
      </c>
      <c r="D312" t="inlineStr">
        <is>
          <t>France</t>
        </is>
      </c>
      <c r="E312" t="inlineStr">
        <is>
          <t>Male</t>
        </is>
      </c>
      <c r="F312" t="n">
        <v>89</v>
      </c>
      <c r="G312" t="n">
        <v>6</v>
      </c>
      <c r="H312" t="n">
        <v>113690.36</v>
      </c>
      <c r="I312" t="n">
        <v>4</v>
      </c>
      <c r="J312" t="n">
        <v>0</v>
      </c>
      <c r="K312" t="n">
        <v>1</v>
      </c>
      <c r="L312" t="n">
        <v>87583.03999999999</v>
      </c>
      <c r="M312" t="n">
        <v>1</v>
      </c>
      <c r="O312">
        <f>IF($M312=1,$L312,"")</f>
        <v/>
      </c>
      <c r="P312">
        <f>IF($M312=0,$L312,"")</f>
        <v/>
      </c>
      <c r="R312">
        <f t="array" ref="R312">IFERROR(INDEX($L$2:$L$501,SMALL(IF($M$2:$M$501=1,ROW($M$2:$M$501)-1),ROW()-1)),"")</f>
        <v/>
      </c>
      <c r="S312">
        <f t="array" ref="S312">IFERROR(INDEX($L$2:$L$501,SMALL(IF($M$2:$M$501=0,ROW($M$2:$M$501)-1),ROW()-1)),"")</f>
        <v/>
      </c>
      <c r="U312">
        <f t="array" ref="U312">IFERROR(INDEX($C$2:$C$501,SMALL(IF($D$2:$D$501="France",ROW($D$2:$D$501)-1),ROW()-1)),"")</f>
        <v/>
      </c>
      <c r="V312">
        <f t="array" ref="V312">IFERROR(INDEX($C$2:$C$501,SMALL(IF($D$2:$D$501="Germany",ROW($D$2:$D$501)-1),ROW()-1)),"")</f>
        <v/>
      </c>
      <c r="W312">
        <f t="array" ref="W312">IFERROR(INDEX($C$2:$C$501,SMALL(IF($D$2:$D$501="Spain",ROW($D$2:$D$501)-1),ROW()-1)),"")</f>
        <v/>
      </c>
    </row>
    <row r="313">
      <c r="A313" t="n">
        <v>312</v>
      </c>
      <c r="B313" t="inlineStr">
        <is>
          <t>Smith</t>
        </is>
      </c>
      <c r="C313" t="n">
        <v>624</v>
      </c>
      <c r="D313" t="inlineStr">
        <is>
          <t>Spain</t>
        </is>
      </c>
      <c r="E313" t="inlineStr">
        <is>
          <t>Male</t>
        </is>
      </c>
      <c r="F313" t="n">
        <v>80</v>
      </c>
      <c r="G313" t="n">
        <v>10</v>
      </c>
      <c r="H313" t="n">
        <v>81815.67</v>
      </c>
      <c r="I313" t="n">
        <v>4</v>
      </c>
      <c r="J313" t="n">
        <v>0</v>
      </c>
      <c r="K313" t="n">
        <v>0</v>
      </c>
      <c r="L313" t="n">
        <v>129536.99</v>
      </c>
      <c r="M313" t="n">
        <v>0</v>
      </c>
      <c r="O313">
        <f>IF($M313=1,$L313,"")</f>
        <v/>
      </c>
      <c r="P313">
        <f>IF($M313=0,$L313,"")</f>
        <v/>
      </c>
      <c r="R313">
        <f t="array" ref="R313">IFERROR(INDEX($L$2:$L$501,SMALL(IF($M$2:$M$501=1,ROW($M$2:$M$501)-1),ROW()-1)),"")</f>
        <v/>
      </c>
      <c r="S313">
        <f t="array" ref="S313">IFERROR(INDEX($L$2:$L$501,SMALL(IF($M$2:$M$501=0,ROW($M$2:$M$501)-1),ROW()-1)),"")</f>
        <v/>
      </c>
      <c r="U313">
        <f t="array" ref="U313">IFERROR(INDEX($C$2:$C$501,SMALL(IF($D$2:$D$501="France",ROW($D$2:$D$501)-1),ROW()-1)),"")</f>
        <v/>
      </c>
      <c r="V313">
        <f t="array" ref="V313">IFERROR(INDEX($C$2:$C$501,SMALL(IF($D$2:$D$501="Germany",ROW($D$2:$D$501)-1),ROW()-1)),"")</f>
        <v/>
      </c>
      <c r="W313">
        <f t="array" ref="W313">IFERROR(INDEX($C$2:$C$501,SMALL(IF($D$2:$D$501="Spain",ROW($D$2:$D$501)-1),ROW()-1)),"")</f>
        <v/>
      </c>
    </row>
    <row r="314">
      <c r="A314" t="n">
        <v>313</v>
      </c>
      <c r="B314" t="inlineStr">
        <is>
          <t>Moore</t>
        </is>
      </c>
      <c r="C314" t="n">
        <v>695</v>
      </c>
      <c r="D314" t="inlineStr">
        <is>
          <t>France</t>
        </is>
      </c>
      <c r="E314" t="inlineStr">
        <is>
          <t>Female</t>
        </is>
      </c>
      <c r="F314" t="n">
        <v>90</v>
      </c>
      <c r="G314" t="n">
        <v>0</v>
      </c>
      <c r="H314" t="n">
        <v>34576.69</v>
      </c>
      <c r="I314" t="n">
        <v>4</v>
      </c>
      <c r="J314" t="n">
        <v>0</v>
      </c>
      <c r="K314" t="n">
        <v>0</v>
      </c>
      <c r="L314" t="n">
        <v>87838.32000000001</v>
      </c>
      <c r="M314" t="n">
        <v>1</v>
      </c>
      <c r="O314">
        <f>IF($M314=1,$L314,"")</f>
        <v/>
      </c>
      <c r="P314">
        <f>IF($M314=0,$L314,"")</f>
        <v/>
      </c>
      <c r="R314">
        <f t="array" ref="R314">IFERROR(INDEX($L$2:$L$501,SMALL(IF($M$2:$M$501=1,ROW($M$2:$M$501)-1),ROW()-1)),"")</f>
        <v/>
      </c>
      <c r="S314">
        <f t="array" ref="S314">IFERROR(INDEX($L$2:$L$501,SMALL(IF($M$2:$M$501=0,ROW($M$2:$M$501)-1),ROW()-1)),"")</f>
        <v/>
      </c>
      <c r="U314">
        <f t="array" ref="U314">IFERROR(INDEX($C$2:$C$501,SMALL(IF($D$2:$D$501="France",ROW($D$2:$D$501)-1),ROW()-1)),"")</f>
        <v/>
      </c>
      <c r="V314">
        <f t="array" ref="V314">IFERROR(INDEX($C$2:$C$501,SMALL(IF($D$2:$D$501="Germany",ROW($D$2:$D$501)-1),ROW()-1)),"")</f>
        <v/>
      </c>
      <c r="W314">
        <f t="array" ref="W314">IFERROR(INDEX($C$2:$C$501,SMALL(IF($D$2:$D$501="Spain",ROW($D$2:$D$501)-1),ROW()-1)),"")</f>
        <v/>
      </c>
    </row>
    <row r="315">
      <c r="A315" t="n">
        <v>314</v>
      </c>
      <c r="B315" t="inlineStr">
        <is>
          <t>Davis</t>
        </is>
      </c>
      <c r="C315" t="n">
        <v>363</v>
      </c>
      <c r="D315" t="inlineStr">
        <is>
          <t>Germany</t>
        </is>
      </c>
      <c r="E315" t="inlineStr">
        <is>
          <t>Male</t>
        </is>
      </c>
      <c r="F315" t="n">
        <v>55</v>
      </c>
      <c r="G315" t="n">
        <v>7</v>
      </c>
      <c r="H315" t="n">
        <v>156344.54</v>
      </c>
      <c r="I315" t="n">
        <v>2</v>
      </c>
      <c r="J315" t="n">
        <v>0</v>
      </c>
      <c r="K315" t="n">
        <v>0</v>
      </c>
      <c r="L315" t="n">
        <v>90381.03999999999</v>
      </c>
      <c r="M315" t="n">
        <v>1</v>
      </c>
      <c r="O315">
        <f>IF($M315=1,$L315,"")</f>
        <v/>
      </c>
      <c r="P315">
        <f>IF($M315=0,$L315,"")</f>
        <v/>
      </c>
      <c r="R315">
        <f t="array" ref="R315">IFERROR(INDEX($L$2:$L$501,SMALL(IF($M$2:$M$501=1,ROW($M$2:$M$501)-1),ROW()-1)),"")</f>
        <v/>
      </c>
      <c r="S315">
        <f t="array" ref="S315">IFERROR(INDEX($L$2:$L$501,SMALL(IF($M$2:$M$501=0,ROW($M$2:$M$501)-1),ROW()-1)),"")</f>
        <v/>
      </c>
      <c r="U315">
        <f t="array" ref="U315">IFERROR(INDEX($C$2:$C$501,SMALL(IF($D$2:$D$501="France",ROW($D$2:$D$501)-1),ROW()-1)),"")</f>
        <v/>
      </c>
      <c r="V315">
        <f t="array" ref="V315">IFERROR(INDEX($C$2:$C$501,SMALL(IF($D$2:$D$501="Germany",ROW($D$2:$D$501)-1),ROW()-1)),"")</f>
        <v/>
      </c>
      <c r="W315">
        <f t="array" ref="W315">IFERROR(INDEX($C$2:$C$501,SMALL(IF($D$2:$D$501="Spain",ROW($D$2:$D$501)-1),ROW()-1)),"")</f>
        <v/>
      </c>
    </row>
    <row r="316">
      <c r="A316" t="n">
        <v>315</v>
      </c>
      <c r="B316" t="inlineStr">
        <is>
          <t>Brown</t>
        </is>
      </c>
      <c r="C316" t="n">
        <v>572</v>
      </c>
      <c r="D316" t="inlineStr">
        <is>
          <t>France</t>
        </is>
      </c>
      <c r="E316" t="inlineStr">
        <is>
          <t>Male</t>
        </is>
      </c>
      <c r="F316" t="n">
        <v>23</v>
      </c>
      <c r="G316" t="n">
        <v>6</v>
      </c>
      <c r="H316" t="n">
        <v>169958.77</v>
      </c>
      <c r="I316" t="n">
        <v>2</v>
      </c>
      <c r="J316" t="n">
        <v>1</v>
      </c>
      <c r="K316" t="n">
        <v>0</v>
      </c>
      <c r="L316" t="n">
        <v>90227.36</v>
      </c>
      <c r="M316" t="n">
        <v>1</v>
      </c>
      <c r="O316">
        <f>IF($M316=1,$L316,"")</f>
        <v/>
      </c>
      <c r="P316">
        <f>IF($M316=0,$L316,"")</f>
        <v/>
      </c>
      <c r="R316">
        <f t="array" ref="R316">IFERROR(INDEX($L$2:$L$501,SMALL(IF($M$2:$M$501=1,ROW($M$2:$M$501)-1),ROW()-1)),"")</f>
        <v/>
      </c>
      <c r="S316">
        <f t="array" ref="S316">IFERROR(INDEX($L$2:$L$501,SMALL(IF($M$2:$M$501=0,ROW($M$2:$M$501)-1),ROW()-1)),"")</f>
        <v/>
      </c>
      <c r="U316">
        <f t="array" ref="U316">IFERROR(INDEX($C$2:$C$501,SMALL(IF($D$2:$D$501="France",ROW($D$2:$D$501)-1),ROW()-1)),"")</f>
        <v/>
      </c>
      <c r="V316">
        <f t="array" ref="V316">IFERROR(INDEX($C$2:$C$501,SMALL(IF($D$2:$D$501="Germany",ROW($D$2:$D$501)-1),ROW()-1)),"")</f>
        <v/>
      </c>
      <c r="W316">
        <f t="array" ref="W316">IFERROR(INDEX($C$2:$C$501,SMALL(IF($D$2:$D$501="Spain",ROW($D$2:$D$501)-1),ROW()-1)),"")</f>
        <v/>
      </c>
    </row>
    <row r="317">
      <c r="A317" t="n">
        <v>316</v>
      </c>
      <c r="B317" t="inlineStr">
        <is>
          <t>Wilson</t>
        </is>
      </c>
      <c r="C317" t="n">
        <v>442</v>
      </c>
      <c r="D317" t="inlineStr">
        <is>
          <t>France</t>
        </is>
      </c>
      <c r="E317" t="inlineStr">
        <is>
          <t>Female</t>
        </is>
      </c>
      <c r="F317" t="n">
        <v>73</v>
      </c>
      <c r="G317" t="n">
        <v>4</v>
      </c>
      <c r="H317" t="n">
        <v>232599.36</v>
      </c>
      <c r="I317" t="n">
        <v>3</v>
      </c>
      <c r="J317" t="n">
        <v>0</v>
      </c>
      <c r="K317" t="n">
        <v>1</v>
      </c>
      <c r="L317" t="n">
        <v>103203.97</v>
      </c>
      <c r="M317" t="n">
        <v>0</v>
      </c>
      <c r="O317">
        <f>IF($M317=1,$L317,"")</f>
        <v/>
      </c>
      <c r="P317">
        <f>IF($M317=0,$L317,"")</f>
        <v/>
      </c>
      <c r="R317">
        <f t="array" ref="R317">IFERROR(INDEX($L$2:$L$501,SMALL(IF($M$2:$M$501=1,ROW($M$2:$M$501)-1),ROW()-1)),"")</f>
        <v/>
      </c>
      <c r="S317">
        <f t="array" ref="S317">IFERROR(INDEX($L$2:$L$501,SMALL(IF($M$2:$M$501=0,ROW($M$2:$M$501)-1),ROW()-1)),"")</f>
        <v/>
      </c>
      <c r="U317">
        <f t="array" ref="U317">IFERROR(INDEX($C$2:$C$501,SMALL(IF($D$2:$D$501="France",ROW($D$2:$D$501)-1),ROW()-1)),"")</f>
        <v/>
      </c>
      <c r="V317">
        <f t="array" ref="V317">IFERROR(INDEX($C$2:$C$501,SMALL(IF($D$2:$D$501="Germany",ROW($D$2:$D$501)-1),ROW()-1)),"")</f>
        <v/>
      </c>
      <c r="W317">
        <f t="array" ref="W317">IFERROR(INDEX($C$2:$C$501,SMALL(IF($D$2:$D$501="Spain",ROW($D$2:$D$501)-1),ROW()-1)),"")</f>
        <v/>
      </c>
    </row>
    <row r="318">
      <c r="A318" t="n">
        <v>317</v>
      </c>
      <c r="B318" t="inlineStr">
        <is>
          <t>Brown</t>
        </is>
      </c>
      <c r="C318" t="n">
        <v>586</v>
      </c>
      <c r="D318" t="inlineStr">
        <is>
          <t>Germany</t>
        </is>
      </c>
      <c r="E318" t="inlineStr">
        <is>
          <t>Female</t>
        </is>
      </c>
      <c r="F318" t="n">
        <v>64</v>
      </c>
      <c r="G318" t="n">
        <v>9</v>
      </c>
      <c r="H318" t="n">
        <v>31288.48</v>
      </c>
      <c r="I318" t="n">
        <v>2</v>
      </c>
      <c r="J318" t="n">
        <v>0</v>
      </c>
      <c r="K318" t="n">
        <v>0</v>
      </c>
      <c r="L318" t="n">
        <v>111373.48</v>
      </c>
      <c r="M318" t="n">
        <v>0</v>
      </c>
      <c r="O318">
        <f>IF($M318=1,$L318,"")</f>
        <v/>
      </c>
      <c r="P318">
        <f>IF($M318=0,$L318,"")</f>
        <v/>
      </c>
      <c r="R318">
        <f t="array" ref="R318">IFERROR(INDEX($L$2:$L$501,SMALL(IF($M$2:$M$501=1,ROW($M$2:$M$501)-1),ROW()-1)),"")</f>
        <v/>
      </c>
      <c r="S318">
        <f t="array" ref="S318">IFERROR(INDEX($L$2:$L$501,SMALL(IF($M$2:$M$501=0,ROW($M$2:$M$501)-1),ROW()-1)),"")</f>
        <v/>
      </c>
      <c r="U318">
        <f t="array" ref="U318">IFERROR(INDEX($C$2:$C$501,SMALL(IF($D$2:$D$501="France",ROW($D$2:$D$501)-1),ROW()-1)),"")</f>
        <v/>
      </c>
      <c r="V318">
        <f t="array" ref="V318">IFERROR(INDEX($C$2:$C$501,SMALL(IF($D$2:$D$501="Germany",ROW($D$2:$D$501)-1),ROW()-1)),"")</f>
        <v/>
      </c>
      <c r="W318">
        <f t="array" ref="W318">IFERROR(INDEX($C$2:$C$501,SMALL(IF($D$2:$D$501="Spain",ROW($D$2:$D$501)-1),ROW()-1)),"")</f>
        <v/>
      </c>
    </row>
    <row r="319">
      <c r="A319" t="n">
        <v>318</v>
      </c>
      <c r="B319" t="inlineStr">
        <is>
          <t>Johnson</t>
        </is>
      </c>
      <c r="C319" t="n">
        <v>455</v>
      </c>
      <c r="D319" t="inlineStr">
        <is>
          <t>France</t>
        </is>
      </c>
      <c r="E319" t="inlineStr">
        <is>
          <t>Male</t>
        </is>
      </c>
      <c r="F319" t="n">
        <v>56</v>
      </c>
      <c r="G319" t="n">
        <v>2</v>
      </c>
      <c r="H319" t="n">
        <v>184265.11</v>
      </c>
      <c r="I319" t="n">
        <v>1</v>
      </c>
      <c r="J319" t="n">
        <v>1</v>
      </c>
      <c r="K319" t="n">
        <v>0</v>
      </c>
      <c r="L319" t="n">
        <v>106046.27</v>
      </c>
      <c r="M319" t="n">
        <v>1</v>
      </c>
      <c r="O319">
        <f>IF($M319=1,$L319,"")</f>
        <v/>
      </c>
      <c r="P319">
        <f>IF($M319=0,$L319,"")</f>
        <v/>
      </c>
      <c r="R319">
        <f t="array" ref="R319">IFERROR(INDEX($L$2:$L$501,SMALL(IF($M$2:$M$501=1,ROW($M$2:$M$501)-1),ROW()-1)),"")</f>
        <v/>
      </c>
      <c r="S319">
        <f t="array" ref="S319">IFERROR(INDEX($L$2:$L$501,SMALL(IF($M$2:$M$501=0,ROW($M$2:$M$501)-1),ROW()-1)),"")</f>
        <v/>
      </c>
      <c r="U319">
        <f t="array" ref="U319">IFERROR(INDEX($C$2:$C$501,SMALL(IF($D$2:$D$501="France",ROW($D$2:$D$501)-1),ROW()-1)),"")</f>
        <v/>
      </c>
      <c r="V319">
        <f t="array" ref="V319">IFERROR(INDEX($C$2:$C$501,SMALL(IF($D$2:$D$501="Germany",ROW($D$2:$D$501)-1),ROW()-1)),"")</f>
        <v/>
      </c>
      <c r="W319">
        <f t="array" ref="W319">IFERROR(INDEX($C$2:$C$501,SMALL(IF($D$2:$D$501="Spain",ROW($D$2:$D$501)-1),ROW()-1)),"")</f>
        <v/>
      </c>
    </row>
    <row r="320">
      <c r="A320" t="n">
        <v>319</v>
      </c>
      <c r="B320" t="inlineStr">
        <is>
          <t>Jones</t>
        </is>
      </c>
      <c r="C320" t="n">
        <v>563</v>
      </c>
      <c r="D320" t="inlineStr">
        <is>
          <t>Germany</t>
        </is>
      </c>
      <c r="E320" t="inlineStr">
        <is>
          <t>Male</t>
        </is>
      </c>
      <c r="F320" t="n">
        <v>67</v>
      </c>
      <c r="G320" t="n">
        <v>3</v>
      </c>
      <c r="H320" t="n">
        <v>136635</v>
      </c>
      <c r="I320" t="n">
        <v>1</v>
      </c>
      <c r="J320" t="n">
        <v>1</v>
      </c>
      <c r="K320" t="n">
        <v>1</v>
      </c>
      <c r="L320" t="n">
        <v>29342.26</v>
      </c>
      <c r="M320" t="n">
        <v>1</v>
      </c>
      <c r="O320">
        <f>IF($M320=1,$L320,"")</f>
        <v/>
      </c>
      <c r="P320">
        <f>IF($M320=0,$L320,"")</f>
        <v/>
      </c>
      <c r="R320">
        <f t="array" ref="R320">IFERROR(INDEX($L$2:$L$501,SMALL(IF($M$2:$M$501=1,ROW($M$2:$M$501)-1),ROW()-1)),"")</f>
        <v/>
      </c>
      <c r="S320">
        <f t="array" ref="S320">IFERROR(INDEX($L$2:$L$501,SMALL(IF($M$2:$M$501=0,ROW($M$2:$M$501)-1),ROW()-1)),"")</f>
        <v/>
      </c>
      <c r="U320">
        <f t="array" ref="U320">IFERROR(INDEX($C$2:$C$501,SMALL(IF($D$2:$D$501="France",ROW($D$2:$D$501)-1),ROW()-1)),"")</f>
        <v/>
      </c>
      <c r="V320">
        <f t="array" ref="V320">IFERROR(INDEX($C$2:$C$501,SMALL(IF($D$2:$D$501="Germany",ROW($D$2:$D$501)-1),ROW()-1)),"")</f>
        <v/>
      </c>
      <c r="W320">
        <f t="array" ref="W320">IFERROR(INDEX($C$2:$C$501,SMALL(IF($D$2:$D$501="Spain",ROW($D$2:$D$501)-1),ROW()-1)),"")</f>
        <v/>
      </c>
    </row>
    <row r="321">
      <c r="A321" t="n">
        <v>320</v>
      </c>
      <c r="B321" t="inlineStr">
        <is>
          <t>Jones</t>
        </is>
      </c>
      <c r="C321" t="n">
        <v>356</v>
      </c>
      <c r="D321" t="inlineStr">
        <is>
          <t>Germany</t>
        </is>
      </c>
      <c r="E321" t="inlineStr">
        <is>
          <t>Female</t>
        </is>
      </c>
      <c r="F321" t="n">
        <v>26</v>
      </c>
      <c r="G321" t="n">
        <v>10</v>
      </c>
      <c r="H321" t="n">
        <v>114332.53</v>
      </c>
      <c r="I321" t="n">
        <v>3</v>
      </c>
      <c r="J321" t="n">
        <v>0</v>
      </c>
      <c r="K321" t="n">
        <v>0</v>
      </c>
      <c r="L321" t="n">
        <v>148688.77</v>
      </c>
      <c r="M321" t="n">
        <v>1</v>
      </c>
      <c r="O321">
        <f>IF($M321=1,$L321,"")</f>
        <v/>
      </c>
      <c r="P321">
        <f>IF($M321=0,$L321,"")</f>
        <v/>
      </c>
      <c r="R321">
        <f t="array" ref="R321">IFERROR(INDEX($L$2:$L$501,SMALL(IF($M$2:$M$501=1,ROW($M$2:$M$501)-1),ROW()-1)),"")</f>
        <v/>
      </c>
      <c r="S321">
        <f t="array" ref="S321">IFERROR(INDEX($L$2:$L$501,SMALL(IF($M$2:$M$501=0,ROW($M$2:$M$501)-1),ROW()-1)),"")</f>
        <v/>
      </c>
      <c r="U321">
        <f t="array" ref="U321">IFERROR(INDEX($C$2:$C$501,SMALL(IF($D$2:$D$501="France",ROW($D$2:$D$501)-1),ROW()-1)),"")</f>
        <v/>
      </c>
      <c r="V321">
        <f t="array" ref="V321">IFERROR(INDEX($C$2:$C$501,SMALL(IF($D$2:$D$501="Germany",ROW($D$2:$D$501)-1),ROW()-1)),"")</f>
        <v/>
      </c>
      <c r="W321">
        <f t="array" ref="W321">IFERROR(INDEX($C$2:$C$501,SMALL(IF($D$2:$D$501="Spain",ROW($D$2:$D$501)-1),ROW()-1)),"")</f>
        <v/>
      </c>
    </row>
    <row r="322">
      <c r="A322" t="n">
        <v>321</v>
      </c>
      <c r="B322" t="inlineStr">
        <is>
          <t>Taylor</t>
        </is>
      </c>
      <c r="C322" t="n">
        <v>450</v>
      </c>
      <c r="D322" t="inlineStr">
        <is>
          <t>Germany</t>
        </is>
      </c>
      <c r="E322" t="inlineStr">
        <is>
          <t>Male</t>
        </is>
      </c>
      <c r="F322" t="n">
        <v>83</v>
      </c>
      <c r="G322" t="n">
        <v>6</v>
      </c>
      <c r="H322" t="n">
        <v>188229.59</v>
      </c>
      <c r="I322" t="n">
        <v>2</v>
      </c>
      <c r="J322" t="n">
        <v>0</v>
      </c>
      <c r="K322" t="n">
        <v>0</v>
      </c>
      <c r="L322" t="n">
        <v>129283.37</v>
      </c>
      <c r="M322" t="n">
        <v>1</v>
      </c>
      <c r="O322">
        <f>IF($M322=1,$L322,"")</f>
        <v/>
      </c>
      <c r="P322">
        <f>IF($M322=0,$L322,"")</f>
        <v/>
      </c>
      <c r="R322">
        <f t="array" ref="R322">IFERROR(INDEX($L$2:$L$501,SMALL(IF($M$2:$M$501=1,ROW($M$2:$M$501)-1),ROW()-1)),"")</f>
        <v/>
      </c>
      <c r="S322">
        <f t="array" ref="S322">IFERROR(INDEX($L$2:$L$501,SMALL(IF($M$2:$M$501=0,ROW($M$2:$M$501)-1),ROW()-1)),"")</f>
        <v/>
      </c>
      <c r="U322">
        <f t="array" ref="U322">IFERROR(INDEX($C$2:$C$501,SMALL(IF($D$2:$D$501="France",ROW($D$2:$D$501)-1),ROW()-1)),"")</f>
        <v/>
      </c>
      <c r="V322">
        <f t="array" ref="V322">IFERROR(INDEX($C$2:$C$501,SMALL(IF($D$2:$D$501="Germany",ROW($D$2:$D$501)-1),ROW()-1)),"")</f>
        <v/>
      </c>
      <c r="W322">
        <f t="array" ref="W322">IFERROR(INDEX($C$2:$C$501,SMALL(IF($D$2:$D$501="Spain",ROW($D$2:$D$501)-1),ROW()-1)),"")</f>
        <v/>
      </c>
    </row>
    <row r="323">
      <c r="A323" t="n">
        <v>322</v>
      </c>
      <c r="B323" t="inlineStr">
        <is>
          <t>Williams</t>
        </is>
      </c>
      <c r="C323" t="n">
        <v>398</v>
      </c>
      <c r="D323" t="inlineStr">
        <is>
          <t>France</t>
        </is>
      </c>
      <c r="E323" t="inlineStr">
        <is>
          <t>Male</t>
        </is>
      </c>
      <c r="F323" t="n">
        <v>84</v>
      </c>
      <c r="G323" t="n">
        <v>6</v>
      </c>
      <c r="H323" t="n">
        <v>151818.88</v>
      </c>
      <c r="I323" t="n">
        <v>3</v>
      </c>
      <c r="J323" t="n">
        <v>1</v>
      </c>
      <c r="K323" t="n">
        <v>0</v>
      </c>
      <c r="L323" t="n">
        <v>76167.42</v>
      </c>
      <c r="M323" t="n">
        <v>0</v>
      </c>
      <c r="O323">
        <f>IF($M323=1,$L323,"")</f>
        <v/>
      </c>
      <c r="P323">
        <f>IF($M323=0,$L323,"")</f>
        <v/>
      </c>
      <c r="R323">
        <f t="array" ref="R323">IFERROR(INDEX($L$2:$L$501,SMALL(IF($M$2:$M$501=1,ROW($M$2:$M$501)-1),ROW()-1)),"")</f>
        <v/>
      </c>
      <c r="S323">
        <f t="array" ref="S323">IFERROR(INDEX($L$2:$L$501,SMALL(IF($M$2:$M$501=0,ROW($M$2:$M$501)-1),ROW()-1)),"")</f>
        <v/>
      </c>
      <c r="U323">
        <f t="array" ref="U323">IFERROR(INDEX($C$2:$C$501,SMALL(IF($D$2:$D$501="France",ROW($D$2:$D$501)-1),ROW()-1)),"")</f>
        <v/>
      </c>
      <c r="V323">
        <f t="array" ref="V323">IFERROR(INDEX($C$2:$C$501,SMALL(IF($D$2:$D$501="Germany",ROW($D$2:$D$501)-1),ROW()-1)),"")</f>
        <v/>
      </c>
      <c r="W323">
        <f t="array" ref="W323">IFERROR(INDEX($C$2:$C$501,SMALL(IF($D$2:$D$501="Spain",ROW($D$2:$D$501)-1),ROW()-1)),"")</f>
        <v/>
      </c>
    </row>
    <row r="324">
      <c r="A324" t="n">
        <v>323</v>
      </c>
      <c r="B324" t="inlineStr">
        <is>
          <t>Davis</t>
        </is>
      </c>
      <c r="C324" t="n">
        <v>390</v>
      </c>
      <c r="D324" t="inlineStr">
        <is>
          <t>Germany</t>
        </is>
      </c>
      <c r="E324" t="inlineStr">
        <is>
          <t>Male</t>
        </is>
      </c>
      <c r="F324" t="n">
        <v>80</v>
      </c>
      <c r="G324" t="n">
        <v>2</v>
      </c>
      <c r="H324" t="n">
        <v>25688.61</v>
      </c>
      <c r="I324" t="n">
        <v>3</v>
      </c>
      <c r="J324" t="n">
        <v>0</v>
      </c>
      <c r="K324" t="n">
        <v>1</v>
      </c>
      <c r="L324" t="n">
        <v>100083.34</v>
      </c>
      <c r="M324" t="n">
        <v>1</v>
      </c>
      <c r="O324">
        <f>IF($M324=1,$L324,"")</f>
        <v/>
      </c>
      <c r="P324">
        <f>IF($M324=0,$L324,"")</f>
        <v/>
      </c>
      <c r="R324">
        <f t="array" ref="R324">IFERROR(INDEX($L$2:$L$501,SMALL(IF($M$2:$M$501=1,ROW($M$2:$M$501)-1),ROW()-1)),"")</f>
        <v/>
      </c>
      <c r="S324">
        <f t="array" ref="S324">IFERROR(INDEX($L$2:$L$501,SMALL(IF($M$2:$M$501=0,ROW($M$2:$M$501)-1),ROW()-1)),"")</f>
        <v/>
      </c>
      <c r="U324">
        <f t="array" ref="U324">IFERROR(INDEX($C$2:$C$501,SMALL(IF($D$2:$D$501="France",ROW($D$2:$D$501)-1),ROW()-1)),"")</f>
        <v/>
      </c>
      <c r="V324">
        <f t="array" ref="V324">IFERROR(INDEX($C$2:$C$501,SMALL(IF($D$2:$D$501="Germany",ROW($D$2:$D$501)-1),ROW()-1)),"")</f>
        <v/>
      </c>
      <c r="W324">
        <f t="array" ref="W324">IFERROR(INDEX($C$2:$C$501,SMALL(IF($D$2:$D$501="Spain",ROW($D$2:$D$501)-1),ROW()-1)),"")</f>
        <v/>
      </c>
    </row>
    <row r="325">
      <c r="A325" t="n">
        <v>324</v>
      </c>
      <c r="B325" t="inlineStr">
        <is>
          <t>Williams</t>
        </is>
      </c>
      <c r="C325" t="n">
        <v>760</v>
      </c>
      <c r="D325" t="inlineStr">
        <is>
          <t>Spain</t>
        </is>
      </c>
      <c r="E325" t="inlineStr">
        <is>
          <t>Female</t>
        </is>
      </c>
      <c r="F325" t="n">
        <v>34</v>
      </c>
      <c r="G325" t="n">
        <v>1</v>
      </c>
      <c r="H325" t="n">
        <v>104789.1</v>
      </c>
      <c r="I325" t="n">
        <v>2</v>
      </c>
      <c r="J325" t="n">
        <v>1</v>
      </c>
      <c r="K325" t="n">
        <v>0</v>
      </c>
      <c r="L325" t="n">
        <v>47420.92</v>
      </c>
      <c r="M325" t="n">
        <v>1</v>
      </c>
      <c r="O325">
        <f>IF($M325=1,$L325,"")</f>
        <v/>
      </c>
      <c r="P325">
        <f>IF($M325=0,$L325,"")</f>
        <v/>
      </c>
      <c r="R325">
        <f t="array" ref="R325">IFERROR(INDEX($L$2:$L$501,SMALL(IF($M$2:$M$501=1,ROW($M$2:$M$501)-1),ROW()-1)),"")</f>
        <v/>
      </c>
      <c r="S325">
        <f t="array" ref="S325">IFERROR(INDEX($L$2:$L$501,SMALL(IF($M$2:$M$501=0,ROW($M$2:$M$501)-1),ROW()-1)),"")</f>
        <v/>
      </c>
      <c r="U325">
        <f t="array" ref="U325">IFERROR(INDEX($C$2:$C$501,SMALL(IF($D$2:$D$501="France",ROW($D$2:$D$501)-1),ROW()-1)),"")</f>
        <v/>
      </c>
      <c r="V325">
        <f t="array" ref="V325">IFERROR(INDEX($C$2:$C$501,SMALL(IF($D$2:$D$501="Germany",ROW($D$2:$D$501)-1),ROW()-1)),"")</f>
        <v/>
      </c>
      <c r="W325">
        <f t="array" ref="W325">IFERROR(INDEX($C$2:$C$501,SMALL(IF($D$2:$D$501="Spain",ROW($D$2:$D$501)-1),ROW()-1)),"")</f>
        <v/>
      </c>
    </row>
    <row r="326">
      <c r="A326" t="n">
        <v>325</v>
      </c>
      <c r="B326" t="inlineStr">
        <is>
          <t>Jones</t>
        </is>
      </c>
      <c r="C326" t="n">
        <v>508</v>
      </c>
      <c r="D326" t="inlineStr">
        <is>
          <t>France</t>
        </is>
      </c>
      <c r="E326" t="inlineStr">
        <is>
          <t>Male</t>
        </is>
      </c>
      <c r="F326" t="n">
        <v>79</v>
      </c>
      <c r="G326" t="n">
        <v>10</v>
      </c>
      <c r="H326" t="n">
        <v>248917.55</v>
      </c>
      <c r="I326" t="n">
        <v>4</v>
      </c>
      <c r="J326" t="n">
        <v>1</v>
      </c>
      <c r="K326" t="n">
        <v>0</v>
      </c>
      <c r="L326" t="n">
        <v>126187.32</v>
      </c>
      <c r="M326" t="n">
        <v>0</v>
      </c>
      <c r="O326">
        <f>IF($M326=1,$L326,"")</f>
        <v/>
      </c>
      <c r="P326">
        <f>IF($M326=0,$L326,"")</f>
        <v/>
      </c>
      <c r="R326">
        <f t="array" ref="R326">IFERROR(INDEX($L$2:$L$501,SMALL(IF($M$2:$M$501=1,ROW($M$2:$M$501)-1),ROW()-1)),"")</f>
        <v/>
      </c>
      <c r="S326">
        <f t="array" ref="S326">IFERROR(INDEX($L$2:$L$501,SMALL(IF($M$2:$M$501=0,ROW($M$2:$M$501)-1),ROW()-1)),"")</f>
        <v/>
      </c>
      <c r="U326">
        <f t="array" ref="U326">IFERROR(INDEX($C$2:$C$501,SMALL(IF($D$2:$D$501="France",ROW($D$2:$D$501)-1),ROW()-1)),"")</f>
        <v/>
      </c>
      <c r="V326">
        <f t="array" ref="V326">IFERROR(INDEX($C$2:$C$501,SMALL(IF($D$2:$D$501="Germany",ROW($D$2:$D$501)-1),ROW()-1)),"")</f>
        <v/>
      </c>
      <c r="W326">
        <f t="array" ref="W326">IFERROR(INDEX($C$2:$C$501,SMALL(IF($D$2:$D$501="Spain",ROW($D$2:$D$501)-1),ROW()-1)),"")</f>
        <v/>
      </c>
    </row>
    <row r="327">
      <c r="A327" t="n">
        <v>326</v>
      </c>
      <c r="B327" t="inlineStr">
        <is>
          <t>Davis</t>
        </is>
      </c>
      <c r="C327" t="n">
        <v>739</v>
      </c>
      <c r="D327" t="inlineStr">
        <is>
          <t>France</t>
        </is>
      </c>
      <c r="E327" t="inlineStr">
        <is>
          <t>Male</t>
        </is>
      </c>
      <c r="F327" t="n">
        <v>84</v>
      </c>
      <c r="G327" t="n">
        <v>7</v>
      </c>
      <c r="H327" t="n">
        <v>191888.81</v>
      </c>
      <c r="I327" t="n">
        <v>2</v>
      </c>
      <c r="J327" t="n">
        <v>1</v>
      </c>
      <c r="K327" t="n">
        <v>0</v>
      </c>
      <c r="L327" t="n">
        <v>94143.75999999999</v>
      </c>
      <c r="M327" t="n">
        <v>1</v>
      </c>
      <c r="O327">
        <f>IF($M327=1,$L327,"")</f>
        <v/>
      </c>
      <c r="P327">
        <f>IF($M327=0,$L327,"")</f>
        <v/>
      </c>
      <c r="R327">
        <f t="array" ref="R327">IFERROR(INDEX($L$2:$L$501,SMALL(IF($M$2:$M$501=1,ROW($M$2:$M$501)-1),ROW()-1)),"")</f>
        <v/>
      </c>
      <c r="S327">
        <f t="array" ref="S327">IFERROR(INDEX($L$2:$L$501,SMALL(IF($M$2:$M$501=0,ROW($M$2:$M$501)-1),ROW()-1)),"")</f>
        <v/>
      </c>
      <c r="U327">
        <f t="array" ref="U327">IFERROR(INDEX($C$2:$C$501,SMALL(IF($D$2:$D$501="France",ROW($D$2:$D$501)-1),ROW()-1)),"")</f>
        <v/>
      </c>
      <c r="V327">
        <f t="array" ref="V327">IFERROR(INDEX($C$2:$C$501,SMALL(IF($D$2:$D$501="Germany",ROW($D$2:$D$501)-1),ROW()-1)),"")</f>
        <v/>
      </c>
      <c r="W327">
        <f t="array" ref="W327">IFERROR(INDEX($C$2:$C$501,SMALL(IF($D$2:$D$501="Spain",ROW($D$2:$D$501)-1),ROW()-1)),"")</f>
        <v/>
      </c>
    </row>
    <row r="328">
      <c r="A328" t="n">
        <v>327</v>
      </c>
      <c r="B328" t="inlineStr">
        <is>
          <t>Wilson</t>
        </is>
      </c>
      <c r="C328" t="n">
        <v>493</v>
      </c>
      <c r="D328" t="inlineStr">
        <is>
          <t>Spain</t>
        </is>
      </c>
      <c r="E328" t="inlineStr">
        <is>
          <t>Male</t>
        </is>
      </c>
      <c r="F328" t="n">
        <v>29</v>
      </c>
      <c r="G328" t="n">
        <v>8</v>
      </c>
      <c r="H328" t="n">
        <v>190645.09</v>
      </c>
      <c r="I328" t="n">
        <v>1</v>
      </c>
      <c r="J328" t="n">
        <v>1</v>
      </c>
      <c r="K328" t="n">
        <v>1</v>
      </c>
      <c r="L328" t="n">
        <v>46765.52</v>
      </c>
      <c r="M328" t="n">
        <v>1</v>
      </c>
      <c r="O328">
        <f>IF($M328=1,$L328,"")</f>
        <v/>
      </c>
      <c r="P328">
        <f>IF($M328=0,$L328,"")</f>
        <v/>
      </c>
      <c r="R328">
        <f t="array" ref="R328">IFERROR(INDEX($L$2:$L$501,SMALL(IF($M$2:$M$501=1,ROW($M$2:$M$501)-1),ROW()-1)),"")</f>
        <v/>
      </c>
      <c r="S328">
        <f t="array" ref="S328">IFERROR(INDEX($L$2:$L$501,SMALL(IF($M$2:$M$501=0,ROW($M$2:$M$501)-1),ROW()-1)),"")</f>
        <v/>
      </c>
      <c r="U328">
        <f t="array" ref="U328">IFERROR(INDEX($C$2:$C$501,SMALL(IF($D$2:$D$501="France",ROW($D$2:$D$501)-1),ROW()-1)),"")</f>
        <v/>
      </c>
      <c r="V328">
        <f t="array" ref="V328">IFERROR(INDEX($C$2:$C$501,SMALL(IF($D$2:$D$501="Germany",ROW($D$2:$D$501)-1),ROW()-1)),"")</f>
        <v/>
      </c>
      <c r="W328">
        <f t="array" ref="W328">IFERROR(INDEX($C$2:$C$501,SMALL(IF($D$2:$D$501="Spain",ROW($D$2:$D$501)-1),ROW()-1)),"")</f>
        <v/>
      </c>
    </row>
    <row r="329">
      <c r="A329" t="n">
        <v>328</v>
      </c>
      <c r="B329" t="inlineStr">
        <is>
          <t>Williams</t>
        </is>
      </c>
      <c r="C329" t="n">
        <v>797</v>
      </c>
      <c r="D329" t="inlineStr">
        <is>
          <t>Spain</t>
        </is>
      </c>
      <c r="E329" t="inlineStr">
        <is>
          <t>Female</t>
        </is>
      </c>
      <c r="F329" t="n">
        <v>49</v>
      </c>
      <c r="G329" t="n">
        <v>8</v>
      </c>
      <c r="H329" t="n">
        <v>230551.53</v>
      </c>
      <c r="I329" t="n">
        <v>2</v>
      </c>
      <c r="J329" t="n">
        <v>1</v>
      </c>
      <c r="K329" t="n">
        <v>1</v>
      </c>
      <c r="L329" t="n">
        <v>127716.72</v>
      </c>
      <c r="M329" t="n">
        <v>1</v>
      </c>
      <c r="O329">
        <f>IF($M329=1,$L329,"")</f>
        <v/>
      </c>
      <c r="P329">
        <f>IF($M329=0,$L329,"")</f>
        <v/>
      </c>
      <c r="R329">
        <f t="array" ref="R329">IFERROR(INDEX($L$2:$L$501,SMALL(IF($M$2:$M$501=1,ROW($M$2:$M$501)-1),ROW()-1)),"")</f>
        <v/>
      </c>
      <c r="S329">
        <f t="array" ref="S329">IFERROR(INDEX($L$2:$L$501,SMALL(IF($M$2:$M$501=0,ROW($M$2:$M$501)-1),ROW()-1)),"")</f>
        <v/>
      </c>
      <c r="U329">
        <f t="array" ref="U329">IFERROR(INDEX($C$2:$C$501,SMALL(IF($D$2:$D$501="France",ROW($D$2:$D$501)-1),ROW()-1)),"")</f>
        <v/>
      </c>
      <c r="V329">
        <f t="array" ref="V329">IFERROR(INDEX($C$2:$C$501,SMALL(IF($D$2:$D$501="Germany",ROW($D$2:$D$501)-1),ROW()-1)),"")</f>
        <v/>
      </c>
      <c r="W329">
        <f t="array" ref="W329">IFERROR(INDEX($C$2:$C$501,SMALL(IF($D$2:$D$501="Spain",ROW($D$2:$D$501)-1),ROW()-1)),"")</f>
        <v/>
      </c>
    </row>
    <row r="330">
      <c r="A330" t="n">
        <v>329</v>
      </c>
      <c r="B330" t="inlineStr">
        <is>
          <t>Wilson</t>
        </is>
      </c>
      <c r="C330" t="n">
        <v>835</v>
      </c>
      <c r="D330" t="inlineStr">
        <is>
          <t>Spain</t>
        </is>
      </c>
      <c r="E330" t="inlineStr">
        <is>
          <t>Male</t>
        </is>
      </c>
      <c r="F330" t="n">
        <v>28</v>
      </c>
      <c r="G330" t="n">
        <v>4</v>
      </c>
      <c r="H330" t="n">
        <v>182346.37</v>
      </c>
      <c r="I330" t="n">
        <v>4</v>
      </c>
      <c r="J330" t="n">
        <v>1</v>
      </c>
      <c r="K330" t="n">
        <v>0</v>
      </c>
      <c r="L330" t="n">
        <v>23783.4</v>
      </c>
      <c r="M330" t="n">
        <v>0</v>
      </c>
      <c r="O330">
        <f>IF($M330=1,$L330,"")</f>
        <v/>
      </c>
      <c r="P330">
        <f>IF($M330=0,$L330,"")</f>
        <v/>
      </c>
      <c r="R330">
        <f t="array" ref="R330">IFERROR(INDEX($L$2:$L$501,SMALL(IF($M$2:$M$501=1,ROW($M$2:$M$501)-1),ROW()-1)),"")</f>
        <v/>
      </c>
      <c r="S330">
        <f t="array" ref="S330">IFERROR(INDEX($L$2:$L$501,SMALL(IF($M$2:$M$501=0,ROW($M$2:$M$501)-1),ROW()-1)),"")</f>
        <v/>
      </c>
      <c r="U330">
        <f t="array" ref="U330">IFERROR(INDEX($C$2:$C$501,SMALL(IF($D$2:$D$501="France",ROW($D$2:$D$501)-1),ROW()-1)),"")</f>
        <v/>
      </c>
      <c r="V330">
        <f t="array" ref="V330">IFERROR(INDEX($C$2:$C$501,SMALL(IF($D$2:$D$501="Germany",ROW($D$2:$D$501)-1),ROW()-1)),"")</f>
        <v/>
      </c>
      <c r="W330">
        <f t="array" ref="W330">IFERROR(INDEX($C$2:$C$501,SMALL(IF($D$2:$D$501="Spain",ROW($D$2:$D$501)-1),ROW()-1)),"")</f>
        <v/>
      </c>
    </row>
    <row r="331">
      <c r="A331" t="n">
        <v>330</v>
      </c>
      <c r="B331" t="inlineStr">
        <is>
          <t>Johnson</t>
        </is>
      </c>
      <c r="C331" t="n">
        <v>387</v>
      </c>
      <c r="D331" t="inlineStr">
        <is>
          <t>Spain</t>
        </is>
      </c>
      <c r="E331" t="inlineStr">
        <is>
          <t>Female</t>
        </is>
      </c>
      <c r="F331" t="n">
        <v>38</v>
      </c>
      <c r="G331" t="n">
        <v>2</v>
      </c>
      <c r="H331" t="n">
        <v>211996.17</v>
      </c>
      <c r="I331" t="n">
        <v>2</v>
      </c>
      <c r="J331" t="n">
        <v>1</v>
      </c>
      <c r="K331" t="n">
        <v>0</v>
      </c>
      <c r="L331" t="n">
        <v>45722.09</v>
      </c>
      <c r="M331" t="n">
        <v>0</v>
      </c>
      <c r="O331">
        <f>IF($M331=1,$L331,"")</f>
        <v/>
      </c>
      <c r="P331">
        <f>IF($M331=0,$L331,"")</f>
        <v/>
      </c>
      <c r="R331">
        <f t="array" ref="R331">IFERROR(INDEX($L$2:$L$501,SMALL(IF($M$2:$M$501=1,ROW($M$2:$M$501)-1),ROW()-1)),"")</f>
        <v/>
      </c>
      <c r="S331">
        <f t="array" ref="S331">IFERROR(INDEX($L$2:$L$501,SMALL(IF($M$2:$M$501=0,ROW($M$2:$M$501)-1),ROW()-1)),"")</f>
        <v/>
      </c>
      <c r="U331">
        <f t="array" ref="U331">IFERROR(INDEX($C$2:$C$501,SMALL(IF($D$2:$D$501="France",ROW($D$2:$D$501)-1),ROW()-1)),"")</f>
        <v/>
      </c>
      <c r="V331">
        <f t="array" ref="V331">IFERROR(INDEX($C$2:$C$501,SMALL(IF($D$2:$D$501="Germany",ROW($D$2:$D$501)-1),ROW()-1)),"")</f>
        <v/>
      </c>
      <c r="W331">
        <f t="array" ref="W331">IFERROR(INDEX($C$2:$C$501,SMALL(IF($D$2:$D$501="Spain",ROW($D$2:$D$501)-1),ROW()-1)),"")</f>
        <v/>
      </c>
    </row>
    <row r="332">
      <c r="A332" t="n">
        <v>331</v>
      </c>
      <c r="B332" t="inlineStr">
        <is>
          <t>Miller</t>
        </is>
      </c>
      <c r="C332" t="n">
        <v>409</v>
      </c>
      <c r="D332" t="inlineStr">
        <is>
          <t>Germany</t>
        </is>
      </c>
      <c r="E332" t="inlineStr">
        <is>
          <t>Male</t>
        </is>
      </c>
      <c r="F332" t="n">
        <v>32</v>
      </c>
      <c r="G332" t="n">
        <v>9</v>
      </c>
      <c r="H332" t="n">
        <v>100270.85</v>
      </c>
      <c r="I332" t="n">
        <v>1</v>
      </c>
      <c r="J332" t="n">
        <v>1</v>
      </c>
      <c r="K332" t="n">
        <v>1</v>
      </c>
      <c r="L332" t="n">
        <v>57238.53</v>
      </c>
      <c r="M332" t="n">
        <v>0</v>
      </c>
      <c r="O332">
        <f>IF($M332=1,$L332,"")</f>
        <v/>
      </c>
      <c r="P332">
        <f>IF($M332=0,$L332,"")</f>
        <v/>
      </c>
      <c r="R332">
        <f t="array" ref="R332">IFERROR(INDEX($L$2:$L$501,SMALL(IF($M$2:$M$501=1,ROW($M$2:$M$501)-1),ROW()-1)),"")</f>
        <v/>
      </c>
      <c r="S332">
        <f t="array" ref="S332">IFERROR(INDEX($L$2:$L$501,SMALL(IF($M$2:$M$501=0,ROW($M$2:$M$501)-1),ROW()-1)),"")</f>
        <v/>
      </c>
      <c r="U332">
        <f t="array" ref="U332">IFERROR(INDEX($C$2:$C$501,SMALL(IF($D$2:$D$501="France",ROW($D$2:$D$501)-1),ROW()-1)),"")</f>
        <v/>
      </c>
      <c r="V332">
        <f t="array" ref="V332">IFERROR(INDEX($C$2:$C$501,SMALL(IF($D$2:$D$501="Germany",ROW($D$2:$D$501)-1),ROW()-1)),"")</f>
        <v/>
      </c>
      <c r="W332">
        <f t="array" ref="W332">IFERROR(INDEX($C$2:$C$501,SMALL(IF($D$2:$D$501="Spain",ROW($D$2:$D$501)-1),ROW()-1)),"")</f>
        <v/>
      </c>
    </row>
    <row r="333">
      <c r="A333" t="n">
        <v>332</v>
      </c>
      <c r="B333" t="inlineStr">
        <is>
          <t>Davis</t>
        </is>
      </c>
      <c r="C333" t="n">
        <v>463</v>
      </c>
      <c r="D333" t="inlineStr">
        <is>
          <t>France</t>
        </is>
      </c>
      <c r="E333" t="inlineStr">
        <is>
          <t>Female</t>
        </is>
      </c>
      <c r="F333" t="n">
        <v>70</v>
      </c>
      <c r="G333" t="n">
        <v>8</v>
      </c>
      <c r="H333" t="n">
        <v>100036.16</v>
      </c>
      <c r="I333" t="n">
        <v>1</v>
      </c>
      <c r="J333" t="n">
        <v>0</v>
      </c>
      <c r="K333" t="n">
        <v>0</v>
      </c>
      <c r="L333" t="n">
        <v>27387.77</v>
      </c>
      <c r="M333" t="n">
        <v>1</v>
      </c>
      <c r="O333">
        <f>IF($M333=1,$L333,"")</f>
        <v/>
      </c>
      <c r="P333">
        <f>IF($M333=0,$L333,"")</f>
        <v/>
      </c>
      <c r="R333">
        <f t="array" ref="R333">IFERROR(INDEX($L$2:$L$501,SMALL(IF($M$2:$M$501=1,ROW($M$2:$M$501)-1),ROW()-1)),"")</f>
        <v/>
      </c>
      <c r="S333">
        <f t="array" ref="S333">IFERROR(INDEX($L$2:$L$501,SMALL(IF($M$2:$M$501=0,ROW($M$2:$M$501)-1),ROW()-1)),"")</f>
        <v/>
      </c>
      <c r="U333">
        <f t="array" ref="U333">IFERROR(INDEX($C$2:$C$501,SMALL(IF($D$2:$D$501="France",ROW($D$2:$D$501)-1),ROW()-1)),"")</f>
        <v/>
      </c>
      <c r="V333">
        <f t="array" ref="V333">IFERROR(INDEX($C$2:$C$501,SMALL(IF($D$2:$D$501="Germany",ROW($D$2:$D$501)-1),ROW()-1)),"")</f>
        <v/>
      </c>
      <c r="W333">
        <f t="array" ref="W333">IFERROR(INDEX($C$2:$C$501,SMALL(IF($D$2:$D$501="Spain",ROW($D$2:$D$501)-1),ROW()-1)),"")</f>
        <v/>
      </c>
    </row>
    <row r="334">
      <c r="A334" t="n">
        <v>333</v>
      </c>
      <c r="B334" t="inlineStr">
        <is>
          <t>Smith</t>
        </is>
      </c>
      <c r="C334" t="n">
        <v>445</v>
      </c>
      <c r="D334" t="inlineStr">
        <is>
          <t>France</t>
        </is>
      </c>
      <c r="E334" t="inlineStr">
        <is>
          <t>Female</t>
        </is>
      </c>
      <c r="F334" t="n">
        <v>89</v>
      </c>
      <c r="G334" t="n">
        <v>10</v>
      </c>
      <c r="H334" t="n">
        <v>239257.96</v>
      </c>
      <c r="I334" t="n">
        <v>4</v>
      </c>
      <c r="J334" t="n">
        <v>0</v>
      </c>
      <c r="K334" t="n">
        <v>0</v>
      </c>
      <c r="L334" t="n">
        <v>75002.11</v>
      </c>
      <c r="M334" t="n">
        <v>0</v>
      </c>
      <c r="O334">
        <f>IF($M334=1,$L334,"")</f>
        <v/>
      </c>
      <c r="P334">
        <f>IF($M334=0,$L334,"")</f>
        <v/>
      </c>
      <c r="R334">
        <f t="array" ref="R334">IFERROR(INDEX($L$2:$L$501,SMALL(IF($M$2:$M$501=1,ROW($M$2:$M$501)-1),ROW()-1)),"")</f>
        <v/>
      </c>
      <c r="S334">
        <f t="array" ref="S334">IFERROR(INDEX($L$2:$L$501,SMALL(IF($M$2:$M$501=0,ROW($M$2:$M$501)-1),ROW()-1)),"")</f>
        <v/>
      </c>
      <c r="U334">
        <f t="array" ref="U334">IFERROR(INDEX($C$2:$C$501,SMALL(IF($D$2:$D$501="France",ROW($D$2:$D$501)-1),ROW()-1)),"")</f>
        <v/>
      </c>
      <c r="V334">
        <f t="array" ref="V334">IFERROR(INDEX($C$2:$C$501,SMALL(IF($D$2:$D$501="Germany",ROW($D$2:$D$501)-1),ROW()-1)),"")</f>
        <v/>
      </c>
      <c r="W334">
        <f t="array" ref="W334">IFERROR(INDEX($C$2:$C$501,SMALL(IF($D$2:$D$501="Spain",ROW($D$2:$D$501)-1),ROW()-1)),"")</f>
        <v/>
      </c>
    </row>
    <row r="335">
      <c r="A335" t="n">
        <v>334</v>
      </c>
      <c r="B335" t="inlineStr">
        <is>
          <t>Smith</t>
        </is>
      </c>
      <c r="C335" t="n">
        <v>702</v>
      </c>
      <c r="D335" t="inlineStr">
        <is>
          <t>Spain</t>
        </is>
      </c>
      <c r="E335" t="inlineStr">
        <is>
          <t>Female</t>
        </is>
      </c>
      <c r="F335" t="n">
        <v>47</v>
      </c>
      <c r="G335" t="n">
        <v>0</v>
      </c>
      <c r="H335" t="n">
        <v>189373.41</v>
      </c>
      <c r="I335" t="n">
        <v>4</v>
      </c>
      <c r="J335" t="n">
        <v>1</v>
      </c>
      <c r="K335" t="n">
        <v>1</v>
      </c>
      <c r="L335" t="n">
        <v>117202.4</v>
      </c>
      <c r="M335" t="n">
        <v>1</v>
      </c>
      <c r="O335">
        <f>IF($M335=1,$L335,"")</f>
        <v/>
      </c>
      <c r="P335">
        <f>IF($M335=0,$L335,"")</f>
        <v/>
      </c>
      <c r="R335">
        <f t="array" ref="R335">IFERROR(INDEX($L$2:$L$501,SMALL(IF($M$2:$M$501=1,ROW($M$2:$M$501)-1),ROW()-1)),"")</f>
        <v/>
      </c>
      <c r="S335">
        <f t="array" ref="S335">IFERROR(INDEX($L$2:$L$501,SMALL(IF($M$2:$M$501=0,ROW($M$2:$M$501)-1),ROW()-1)),"")</f>
        <v/>
      </c>
      <c r="U335">
        <f t="array" ref="U335">IFERROR(INDEX($C$2:$C$501,SMALL(IF($D$2:$D$501="France",ROW($D$2:$D$501)-1),ROW()-1)),"")</f>
        <v/>
      </c>
      <c r="V335">
        <f t="array" ref="V335">IFERROR(INDEX($C$2:$C$501,SMALL(IF($D$2:$D$501="Germany",ROW($D$2:$D$501)-1),ROW()-1)),"")</f>
        <v/>
      </c>
      <c r="W335">
        <f t="array" ref="W335">IFERROR(INDEX($C$2:$C$501,SMALL(IF($D$2:$D$501="Spain",ROW($D$2:$D$501)-1),ROW()-1)),"")</f>
        <v/>
      </c>
    </row>
    <row r="336">
      <c r="A336" t="n">
        <v>335</v>
      </c>
      <c r="B336" t="inlineStr">
        <is>
          <t>Jones</t>
        </is>
      </c>
      <c r="C336" t="n">
        <v>846</v>
      </c>
      <c r="D336" t="inlineStr">
        <is>
          <t>Germany</t>
        </is>
      </c>
      <c r="E336" t="inlineStr">
        <is>
          <t>Female</t>
        </is>
      </c>
      <c r="F336" t="n">
        <v>23</v>
      </c>
      <c r="G336" t="n">
        <v>3</v>
      </c>
      <c r="H336" t="n">
        <v>117828.86</v>
      </c>
      <c r="I336" t="n">
        <v>1</v>
      </c>
      <c r="J336" t="n">
        <v>0</v>
      </c>
      <c r="K336" t="n">
        <v>0</v>
      </c>
      <c r="L336" t="n">
        <v>67005.42999999999</v>
      </c>
      <c r="M336" t="n">
        <v>1</v>
      </c>
      <c r="O336">
        <f>IF($M336=1,$L336,"")</f>
        <v/>
      </c>
      <c r="P336">
        <f>IF($M336=0,$L336,"")</f>
        <v/>
      </c>
      <c r="R336">
        <f t="array" ref="R336">IFERROR(INDEX($L$2:$L$501,SMALL(IF($M$2:$M$501=1,ROW($M$2:$M$501)-1),ROW()-1)),"")</f>
        <v/>
      </c>
      <c r="S336">
        <f t="array" ref="S336">IFERROR(INDEX($L$2:$L$501,SMALL(IF($M$2:$M$501=0,ROW($M$2:$M$501)-1),ROW()-1)),"")</f>
        <v/>
      </c>
      <c r="U336">
        <f t="array" ref="U336">IFERROR(INDEX($C$2:$C$501,SMALL(IF($D$2:$D$501="France",ROW($D$2:$D$501)-1),ROW()-1)),"")</f>
        <v/>
      </c>
      <c r="V336">
        <f t="array" ref="V336">IFERROR(INDEX($C$2:$C$501,SMALL(IF($D$2:$D$501="Germany",ROW($D$2:$D$501)-1),ROW()-1)),"")</f>
        <v/>
      </c>
      <c r="W336">
        <f t="array" ref="W336">IFERROR(INDEX($C$2:$C$501,SMALL(IF($D$2:$D$501="Spain",ROW($D$2:$D$501)-1),ROW()-1)),"")</f>
        <v/>
      </c>
    </row>
    <row r="337">
      <c r="A337" t="n">
        <v>336</v>
      </c>
      <c r="B337" t="inlineStr">
        <is>
          <t>Johnson</t>
        </is>
      </c>
      <c r="C337" t="n">
        <v>558</v>
      </c>
      <c r="D337" t="inlineStr">
        <is>
          <t>Germany</t>
        </is>
      </c>
      <c r="E337" t="inlineStr">
        <is>
          <t>Male</t>
        </is>
      </c>
      <c r="F337" t="n">
        <v>32</v>
      </c>
      <c r="G337" t="n">
        <v>0</v>
      </c>
      <c r="H337" t="n">
        <v>122399.16</v>
      </c>
      <c r="I337" t="n">
        <v>1</v>
      </c>
      <c r="J337" t="n">
        <v>0</v>
      </c>
      <c r="K337" t="n">
        <v>0</v>
      </c>
      <c r="L337" t="n">
        <v>107283.07</v>
      </c>
      <c r="M337" t="n">
        <v>0</v>
      </c>
      <c r="O337">
        <f>IF($M337=1,$L337,"")</f>
        <v/>
      </c>
      <c r="P337">
        <f>IF($M337=0,$L337,"")</f>
        <v/>
      </c>
      <c r="R337">
        <f t="array" ref="R337">IFERROR(INDEX($L$2:$L$501,SMALL(IF($M$2:$M$501=1,ROW($M$2:$M$501)-1),ROW()-1)),"")</f>
        <v/>
      </c>
      <c r="S337">
        <f t="array" ref="S337">IFERROR(INDEX($L$2:$L$501,SMALL(IF($M$2:$M$501=0,ROW($M$2:$M$501)-1),ROW()-1)),"")</f>
        <v/>
      </c>
      <c r="U337">
        <f t="array" ref="U337">IFERROR(INDEX($C$2:$C$501,SMALL(IF($D$2:$D$501="France",ROW($D$2:$D$501)-1),ROW()-1)),"")</f>
        <v/>
      </c>
      <c r="V337">
        <f t="array" ref="V337">IFERROR(INDEX($C$2:$C$501,SMALL(IF($D$2:$D$501="Germany",ROW($D$2:$D$501)-1),ROW()-1)),"")</f>
        <v/>
      </c>
      <c r="W337">
        <f t="array" ref="W337">IFERROR(INDEX($C$2:$C$501,SMALL(IF($D$2:$D$501="Spain",ROW($D$2:$D$501)-1),ROW()-1)),"")</f>
        <v/>
      </c>
    </row>
    <row r="338">
      <c r="A338" t="n">
        <v>337</v>
      </c>
      <c r="B338" t="inlineStr">
        <is>
          <t>Taylor</t>
        </is>
      </c>
      <c r="C338" t="n">
        <v>638</v>
      </c>
      <c r="D338" t="inlineStr">
        <is>
          <t>Spain</t>
        </is>
      </c>
      <c r="E338" t="inlineStr">
        <is>
          <t>Female</t>
        </is>
      </c>
      <c r="F338" t="n">
        <v>69</v>
      </c>
      <c r="G338" t="n">
        <v>5</v>
      </c>
      <c r="H338" t="n">
        <v>4147.69</v>
      </c>
      <c r="I338" t="n">
        <v>2</v>
      </c>
      <c r="J338" t="n">
        <v>0</v>
      </c>
      <c r="K338" t="n">
        <v>0</v>
      </c>
      <c r="L338" t="n">
        <v>37164.6</v>
      </c>
      <c r="M338" t="n">
        <v>1</v>
      </c>
      <c r="O338">
        <f>IF($M338=1,$L338,"")</f>
        <v/>
      </c>
      <c r="P338">
        <f>IF($M338=0,$L338,"")</f>
        <v/>
      </c>
      <c r="R338">
        <f t="array" ref="R338">IFERROR(INDEX($L$2:$L$501,SMALL(IF($M$2:$M$501=1,ROW($M$2:$M$501)-1),ROW()-1)),"")</f>
        <v/>
      </c>
      <c r="S338">
        <f t="array" ref="S338">IFERROR(INDEX($L$2:$L$501,SMALL(IF($M$2:$M$501=0,ROW($M$2:$M$501)-1),ROW()-1)),"")</f>
        <v/>
      </c>
      <c r="U338">
        <f t="array" ref="U338">IFERROR(INDEX($C$2:$C$501,SMALL(IF($D$2:$D$501="France",ROW($D$2:$D$501)-1),ROW()-1)),"")</f>
        <v/>
      </c>
      <c r="V338">
        <f t="array" ref="V338">IFERROR(INDEX($C$2:$C$501,SMALL(IF($D$2:$D$501="Germany",ROW($D$2:$D$501)-1),ROW()-1)),"")</f>
        <v/>
      </c>
      <c r="W338">
        <f t="array" ref="W338">IFERROR(INDEX($C$2:$C$501,SMALL(IF($D$2:$D$501="Spain",ROW($D$2:$D$501)-1),ROW()-1)),"")</f>
        <v/>
      </c>
    </row>
    <row r="339">
      <c r="A339" t="n">
        <v>338</v>
      </c>
      <c r="B339" t="inlineStr">
        <is>
          <t>Taylor</t>
        </is>
      </c>
      <c r="C339" t="n">
        <v>412</v>
      </c>
      <c r="D339" t="inlineStr">
        <is>
          <t>Spain</t>
        </is>
      </c>
      <c r="E339" t="inlineStr">
        <is>
          <t>Male</t>
        </is>
      </c>
      <c r="F339" t="n">
        <v>50</v>
      </c>
      <c r="G339" t="n">
        <v>7</v>
      </c>
      <c r="H339" t="n">
        <v>57433.4</v>
      </c>
      <c r="I339" t="n">
        <v>3</v>
      </c>
      <c r="J339" t="n">
        <v>1</v>
      </c>
      <c r="K339" t="n">
        <v>0</v>
      </c>
      <c r="L339" t="n">
        <v>125784.2</v>
      </c>
      <c r="M339" t="n">
        <v>1</v>
      </c>
      <c r="O339">
        <f>IF($M339=1,$L339,"")</f>
        <v/>
      </c>
      <c r="P339">
        <f>IF($M339=0,$L339,"")</f>
        <v/>
      </c>
      <c r="R339">
        <f t="array" ref="R339">IFERROR(INDEX($L$2:$L$501,SMALL(IF($M$2:$M$501=1,ROW($M$2:$M$501)-1),ROW()-1)),"")</f>
        <v/>
      </c>
      <c r="S339">
        <f t="array" ref="S339">IFERROR(INDEX($L$2:$L$501,SMALL(IF($M$2:$M$501=0,ROW($M$2:$M$501)-1),ROW()-1)),"")</f>
        <v/>
      </c>
      <c r="U339">
        <f t="array" ref="U339">IFERROR(INDEX($C$2:$C$501,SMALL(IF($D$2:$D$501="France",ROW($D$2:$D$501)-1),ROW()-1)),"")</f>
        <v/>
      </c>
      <c r="V339">
        <f t="array" ref="V339">IFERROR(INDEX($C$2:$C$501,SMALL(IF($D$2:$D$501="Germany",ROW($D$2:$D$501)-1),ROW()-1)),"")</f>
        <v/>
      </c>
      <c r="W339">
        <f t="array" ref="W339">IFERROR(INDEX($C$2:$C$501,SMALL(IF($D$2:$D$501="Spain",ROW($D$2:$D$501)-1),ROW()-1)),"")</f>
        <v/>
      </c>
    </row>
    <row r="340">
      <c r="A340" t="n">
        <v>339</v>
      </c>
      <c r="B340" t="inlineStr">
        <is>
          <t>Miller</t>
        </is>
      </c>
      <c r="C340" t="n">
        <v>744</v>
      </c>
      <c r="D340" t="inlineStr">
        <is>
          <t>Spain</t>
        </is>
      </c>
      <c r="E340" t="inlineStr">
        <is>
          <t>Female</t>
        </is>
      </c>
      <c r="F340" t="n">
        <v>41</v>
      </c>
      <c r="G340" t="n">
        <v>7</v>
      </c>
      <c r="H340" t="n">
        <v>117825.55</v>
      </c>
      <c r="I340" t="n">
        <v>3</v>
      </c>
      <c r="J340" t="n">
        <v>0</v>
      </c>
      <c r="K340" t="n">
        <v>1</v>
      </c>
      <c r="L340" t="n">
        <v>33868.2</v>
      </c>
      <c r="M340" t="n">
        <v>1</v>
      </c>
      <c r="O340">
        <f>IF($M340=1,$L340,"")</f>
        <v/>
      </c>
      <c r="P340">
        <f>IF($M340=0,$L340,"")</f>
        <v/>
      </c>
      <c r="R340">
        <f t="array" ref="R340">IFERROR(INDEX($L$2:$L$501,SMALL(IF($M$2:$M$501=1,ROW($M$2:$M$501)-1),ROW()-1)),"")</f>
        <v/>
      </c>
      <c r="S340">
        <f t="array" ref="S340">IFERROR(INDEX($L$2:$L$501,SMALL(IF($M$2:$M$501=0,ROW($M$2:$M$501)-1),ROW()-1)),"")</f>
        <v/>
      </c>
      <c r="U340">
        <f t="array" ref="U340">IFERROR(INDEX($C$2:$C$501,SMALL(IF($D$2:$D$501="France",ROW($D$2:$D$501)-1),ROW()-1)),"")</f>
        <v/>
      </c>
      <c r="V340">
        <f t="array" ref="V340">IFERROR(INDEX($C$2:$C$501,SMALL(IF($D$2:$D$501="Germany",ROW($D$2:$D$501)-1),ROW()-1)),"")</f>
        <v/>
      </c>
      <c r="W340">
        <f t="array" ref="W340">IFERROR(INDEX($C$2:$C$501,SMALL(IF($D$2:$D$501="Spain",ROW($D$2:$D$501)-1),ROW()-1)),"")</f>
        <v/>
      </c>
    </row>
    <row r="341">
      <c r="A341" t="n">
        <v>340</v>
      </c>
      <c r="B341" t="inlineStr">
        <is>
          <t>Miller</t>
        </is>
      </c>
      <c r="C341" t="n">
        <v>746</v>
      </c>
      <c r="D341" t="inlineStr">
        <is>
          <t>Spain</t>
        </is>
      </c>
      <c r="E341" t="inlineStr">
        <is>
          <t>Female</t>
        </is>
      </c>
      <c r="F341" t="n">
        <v>24</v>
      </c>
      <c r="G341" t="n">
        <v>4</v>
      </c>
      <c r="H341" t="n">
        <v>73449.67999999999</v>
      </c>
      <c r="I341" t="n">
        <v>4</v>
      </c>
      <c r="J341" t="n">
        <v>1</v>
      </c>
      <c r="K341" t="n">
        <v>0</v>
      </c>
      <c r="L341" t="n">
        <v>108174.82</v>
      </c>
      <c r="M341" t="n">
        <v>1</v>
      </c>
      <c r="O341">
        <f>IF($M341=1,$L341,"")</f>
        <v/>
      </c>
      <c r="P341">
        <f>IF($M341=0,$L341,"")</f>
        <v/>
      </c>
      <c r="R341">
        <f t="array" ref="R341">IFERROR(INDEX($L$2:$L$501,SMALL(IF($M$2:$M$501=1,ROW($M$2:$M$501)-1),ROW()-1)),"")</f>
        <v/>
      </c>
      <c r="S341">
        <f t="array" ref="S341">IFERROR(INDEX($L$2:$L$501,SMALL(IF($M$2:$M$501=0,ROW($M$2:$M$501)-1),ROW()-1)),"")</f>
        <v/>
      </c>
      <c r="U341">
        <f t="array" ref="U341">IFERROR(INDEX($C$2:$C$501,SMALL(IF($D$2:$D$501="France",ROW($D$2:$D$501)-1),ROW()-1)),"")</f>
        <v/>
      </c>
      <c r="V341">
        <f t="array" ref="V341">IFERROR(INDEX($C$2:$C$501,SMALL(IF($D$2:$D$501="Germany",ROW($D$2:$D$501)-1),ROW()-1)),"")</f>
        <v/>
      </c>
      <c r="W341">
        <f t="array" ref="W341">IFERROR(INDEX($C$2:$C$501,SMALL(IF($D$2:$D$501="Spain",ROW($D$2:$D$501)-1),ROW()-1)),"")</f>
        <v/>
      </c>
    </row>
    <row r="342">
      <c r="A342" t="n">
        <v>341</v>
      </c>
      <c r="B342" t="inlineStr">
        <is>
          <t>Wilson</t>
        </is>
      </c>
      <c r="C342" t="n">
        <v>443</v>
      </c>
      <c r="D342" t="inlineStr">
        <is>
          <t>Germany</t>
        </is>
      </c>
      <c r="E342" t="inlineStr">
        <is>
          <t>Male</t>
        </is>
      </c>
      <c r="F342" t="n">
        <v>91</v>
      </c>
      <c r="G342" t="n">
        <v>8</v>
      </c>
      <c r="H342" t="n">
        <v>245454.02</v>
      </c>
      <c r="I342" t="n">
        <v>4</v>
      </c>
      <c r="J342" t="n">
        <v>0</v>
      </c>
      <c r="K342" t="n">
        <v>0</v>
      </c>
      <c r="L342" t="n">
        <v>49422.5</v>
      </c>
      <c r="M342" t="n">
        <v>1</v>
      </c>
      <c r="O342">
        <f>IF($M342=1,$L342,"")</f>
        <v/>
      </c>
      <c r="P342">
        <f>IF($M342=0,$L342,"")</f>
        <v/>
      </c>
      <c r="R342">
        <f t="array" ref="R342">IFERROR(INDEX($L$2:$L$501,SMALL(IF($M$2:$M$501=1,ROW($M$2:$M$501)-1),ROW()-1)),"")</f>
        <v/>
      </c>
      <c r="S342">
        <f t="array" ref="S342">IFERROR(INDEX($L$2:$L$501,SMALL(IF($M$2:$M$501=0,ROW($M$2:$M$501)-1),ROW()-1)),"")</f>
        <v/>
      </c>
      <c r="U342">
        <f t="array" ref="U342">IFERROR(INDEX($C$2:$C$501,SMALL(IF($D$2:$D$501="France",ROW($D$2:$D$501)-1),ROW()-1)),"")</f>
        <v/>
      </c>
      <c r="V342">
        <f t="array" ref="V342">IFERROR(INDEX($C$2:$C$501,SMALL(IF($D$2:$D$501="Germany",ROW($D$2:$D$501)-1),ROW()-1)),"")</f>
        <v/>
      </c>
      <c r="W342">
        <f t="array" ref="W342">IFERROR(INDEX($C$2:$C$501,SMALL(IF($D$2:$D$501="Spain",ROW($D$2:$D$501)-1),ROW()-1)),"")</f>
        <v/>
      </c>
    </row>
    <row r="343">
      <c r="A343" t="n">
        <v>342</v>
      </c>
      <c r="B343" t="inlineStr">
        <is>
          <t>Moore</t>
        </is>
      </c>
      <c r="C343" t="n">
        <v>670</v>
      </c>
      <c r="D343" t="inlineStr">
        <is>
          <t>France</t>
        </is>
      </c>
      <c r="E343" t="inlineStr">
        <is>
          <t>Male</t>
        </is>
      </c>
      <c r="F343" t="n">
        <v>83</v>
      </c>
      <c r="G343" t="n">
        <v>2</v>
      </c>
      <c r="H343" t="n">
        <v>28880.56</v>
      </c>
      <c r="I343" t="n">
        <v>3</v>
      </c>
      <c r="J343" t="n">
        <v>1</v>
      </c>
      <c r="K343" t="n">
        <v>1</v>
      </c>
      <c r="L343" t="n">
        <v>124392.15</v>
      </c>
      <c r="M343" t="n">
        <v>0</v>
      </c>
      <c r="O343">
        <f>IF($M343=1,$L343,"")</f>
        <v/>
      </c>
      <c r="P343">
        <f>IF($M343=0,$L343,"")</f>
        <v/>
      </c>
      <c r="R343">
        <f t="array" ref="R343">IFERROR(INDEX($L$2:$L$501,SMALL(IF($M$2:$M$501=1,ROW($M$2:$M$501)-1),ROW()-1)),"")</f>
        <v/>
      </c>
      <c r="S343">
        <f t="array" ref="S343">IFERROR(INDEX($L$2:$L$501,SMALL(IF($M$2:$M$501=0,ROW($M$2:$M$501)-1),ROW()-1)),"")</f>
        <v/>
      </c>
      <c r="U343">
        <f t="array" ref="U343">IFERROR(INDEX($C$2:$C$501,SMALL(IF($D$2:$D$501="France",ROW($D$2:$D$501)-1),ROW()-1)),"")</f>
        <v/>
      </c>
      <c r="V343">
        <f t="array" ref="V343">IFERROR(INDEX($C$2:$C$501,SMALL(IF($D$2:$D$501="Germany",ROW($D$2:$D$501)-1),ROW()-1)),"")</f>
        <v/>
      </c>
      <c r="W343">
        <f t="array" ref="W343">IFERROR(INDEX($C$2:$C$501,SMALL(IF($D$2:$D$501="Spain",ROW($D$2:$D$501)-1),ROW()-1)),"")</f>
        <v/>
      </c>
    </row>
    <row r="344">
      <c r="A344" t="n">
        <v>343</v>
      </c>
      <c r="B344" t="inlineStr">
        <is>
          <t>Moore</t>
        </is>
      </c>
      <c r="C344" t="n">
        <v>763</v>
      </c>
      <c r="D344" t="inlineStr">
        <is>
          <t>Germany</t>
        </is>
      </c>
      <c r="E344" t="inlineStr">
        <is>
          <t>Male</t>
        </is>
      </c>
      <c r="F344" t="n">
        <v>88</v>
      </c>
      <c r="G344" t="n">
        <v>9</v>
      </c>
      <c r="H344" t="n">
        <v>126389.5</v>
      </c>
      <c r="I344" t="n">
        <v>1</v>
      </c>
      <c r="J344" t="n">
        <v>1</v>
      </c>
      <c r="K344" t="n">
        <v>0</v>
      </c>
      <c r="L344" t="n">
        <v>145049.72</v>
      </c>
      <c r="M344" t="n">
        <v>1</v>
      </c>
      <c r="O344">
        <f>IF($M344=1,$L344,"")</f>
        <v/>
      </c>
      <c r="P344">
        <f>IF($M344=0,$L344,"")</f>
        <v/>
      </c>
      <c r="R344">
        <f t="array" ref="R344">IFERROR(INDEX($L$2:$L$501,SMALL(IF($M$2:$M$501=1,ROW($M$2:$M$501)-1),ROW()-1)),"")</f>
        <v/>
      </c>
      <c r="S344">
        <f t="array" ref="S344">IFERROR(INDEX($L$2:$L$501,SMALL(IF($M$2:$M$501=0,ROW($M$2:$M$501)-1),ROW()-1)),"")</f>
        <v/>
      </c>
      <c r="U344">
        <f t="array" ref="U344">IFERROR(INDEX($C$2:$C$501,SMALL(IF($D$2:$D$501="France",ROW($D$2:$D$501)-1),ROW()-1)),"")</f>
        <v/>
      </c>
      <c r="V344">
        <f t="array" ref="V344">IFERROR(INDEX($C$2:$C$501,SMALL(IF($D$2:$D$501="Germany",ROW($D$2:$D$501)-1),ROW()-1)),"")</f>
        <v/>
      </c>
      <c r="W344">
        <f t="array" ref="W344">IFERROR(INDEX($C$2:$C$501,SMALL(IF($D$2:$D$501="Spain",ROW($D$2:$D$501)-1),ROW()-1)),"")</f>
        <v/>
      </c>
    </row>
    <row r="345">
      <c r="A345" t="n">
        <v>344</v>
      </c>
      <c r="B345" t="inlineStr">
        <is>
          <t>Wilson</t>
        </is>
      </c>
      <c r="C345" t="n">
        <v>696</v>
      </c>
      <c r="D345" t="inlineStr">
        <is>
          <t>France</t>
        </is>
      </c>
      <c r="E345" t="inlineStr">
        <is>
          <t>Female</t>
        </is>
      </c>
      <c r="F345" t="n">
        <v>58</v>
      </c>
      <c r="G345" t="n">
        <v>5</v>
      </c>
      <c r="H345" t="n">
        <v>2478.15</v>
      </c>
      <c r="I345" t="n">
        <v>4</v>
      </c>
      <c r="J345" t="n">
        <v>1</v>
      </c>
      <c r="K345" t="n">
        <v>1</v>
      </c>
      <c r="L345" t="n">
        <v>118783.64</v>
      </c>
      <c r="M345" t="n">
        <v>1</v>
      </c>
      <c r="O345">
        <f>IF($M345=1,$L345,"")</f>
        <v/>
      </c>
      <c r="P345">
        <f>IF($M345=0,$L345,"")</f>
        <v/>
      </c>
      <c r="R345">
        <f t="array" ref="R345">IFERROR(INDEX($L$2:$L$501,SMALL(IF($M$2:$M$501=1,ROW($M$2:$M$501)-1),ROW()-1)),"")</f>
        <v/>
      </c>
      <c r="S345">
        <f t="array" ref="S345">IFERROR(INDEX($L$2:$L$501,SMALL(IF($M$2:$M$501=0,ROW($M$2:$M$501)-1),ROW()-1)),"")</f>
        <v/>
      </c>
      <c r="U345">
        <f t="array" ref="U345">IFERROR(INDEX($C$2:$C$501,SMALL(IF($D$2:$D$501="France",ROW($D$2:$D$501)-1),ROW()-1)),"")</f>
        <v/>
      </c>
      <c r="V345">
        <f t="array" ref="V345">IFERROR(INDEX($C$2:$C$501,SMALL(IF($D$2:$D$501="Germany",ROW($D$2:$D$501)-1),ROW()-1)),"")</f>
        <v/>
      </c>
      <c r="W345">
        <f t="array" ref="W345">IFERROR(INDEX($C$2:$C$501,SMALL(IF($D$2:$D$501="Spain",ROW($D$2:$D$501)-1),ROW()-1)),"")</f>
        <v/>
      </c>
    </row>
    <row r="346">
      <c r="A346" t="n">
        <v>345</v>
      </c>
      <c r="B346" t="inlineStr">
        <is>
          <t>Smith</t>
        </is>
      </c>
      <c r="C346" t="n">
        <v>837</v>
      </c>
      <c r="D346" t="inlineStr">
        <is>
          <t>France</t>
        </is>
      </c>
      <c r="E346" t="inlineStr">
        <is>
          <t>Female</t>
        </is>
      </c>
      <c r="F346" t="n">
        <v>78</v>
      </c>
      <c r="G346" t="n">
        <v>1</v>
      </c>
      <c r="H346" t="n">
        <v>68129.60000000001</v>
      </c>
      <c r="I346" t="n">
        <v>2</v>
      </c>
      <c r="J346" t="n">
        <v>0</v>
      </c>
      <c r="K346" t="n">
        <v>0</v>
      </c>
      <c r="L346" t="n">
        <v>17554.76</v>
      </c>
      <c r="M346" t="n">
        <v>1</v>
      </c>
      <c r="O346">
        <f>IF($M346=1,$L346,"")</f>
        <v/>
      </c>
      <c r="P346">
        <f>IF($M346=0,$L346,"")</f>
        <v/>
      </c>
      <c r="R346">
        <f t="array" ref="R346">IFERROR(INDEX($L$2:$L$501,SMALL(IF($M$2:$M$501=1,ROW($M$2:$M$501)-1),ROW()-1)),"")</f>
        <v/>
      </c>
      <c r="S346">
        <f t="array" ref="S346">IFERROR(INDEX($L$2:$L$501,SMALL(IF($M$2:$M$501=0,ROW($M$2:$M$501)-1),ROW()-1)),"")</f>
        <v/>
      </c>
      <c r="U346">
        <f t="array" ref="U346">IFERROR(INDEX($C$2:$C$501,SMALL(IF($D$2:$D$501="France",ROW($D$2:$D$501)-1),ROW()-1)),"")</f>
        <v/>
      </c>
      <c r="V346">
        <f t="array" ref="V346">IFERROR(INDEX($C$2:$C$501,SMALL(IF($D$2:$D$501="Germany",ROW($D$2:$D$501)-1),ROW()-1)),"")</f>
        <v/>
      </c>
      <c r="W346">
        <f t="array" ref="W346">IFERROR(INDEX($C$2:$C$501,SMALL(IF($D$2:$D$501="Spain",ROW($D$2:$D$501)-1),ROW()-1)),"")</f>
        <v/>
      </c>
    </row>
    <row r="347">
      <c r="A347" t="n">
        <v>346</v>
      </c>
      <c r="B347" t="inlineStr">
        <is>
          <t>Moore</t>
        </is>
      </c>
      <c r="C347" t="n">
        <v>500</v>
      </c>
      <c r="D347" t="inlineStr">
        <is>
          <t>France</t>
        </is>
      </c>
      <c r="E347" t="inlineStr">
        <is>
          <t>Male</t>
        </is>
      </c>
      <c r="F347" t="n">
        <v>54</v>
      </c>
      <c r="G347" t="n">
        <v>7</v>
      </c>
      <c r="H347" t="n">
        <v>56107.72</v>
      </c>
      <c r="I347" t="n">
        <v>3</v>
      </c>
      <c r="J347" t="n">
        <v>1</v>
      </c>
      <c r="K347" t="n">
        <v>0</v>
      </c>
      <c r="L347" t="n">
        <v>15514.32</v>
      </c>
      <c r="M347" t="n">
        <v>0</v>
      </c>
      <c r="O347">
        <f>IF($M347=1,$L347,"")</f>
        <v/>
      </c>
      <c r="P347">
        <f>IF($M347=0,$L347,"")</f>
        <v/>
      </c>
      <c r="R347">
        <f t="array" ref="R347">IFERROR(INDEX($L$2:$L$501,SMALL(IF($M$2:$M$501=1,ROW($M$2:$M$501)-1),ROW()-1)),"")</f>
        <v/>
      </c>
      <c r="S347">
        <f t="array" ref="S347">IFERROR(INDEX($L$2:$L$501,SMALL(IF($M$2:$M$501=0,ROW($M$2:$M$501)-1),ROW()-1)),"")</f>
        <v/>
      </c>
      <c r="U347">
        <f t="array" ref="U347">IFERROR(INDEX($C$2:$C$501,SMALL(IF($D$2:$D$501="France",ROW($D$2:$D$501)-1),ROW()-1)),"")</f>
        <v/>
      </c>
      <c r="V347">
        <f t="array" ref="V347">IFERROR(INDEX($C$2:$C$501,SMALL(IF($D$2:$D$501="Germany",ROW($D$2:$D$501)-1),ROW()-1)),"")</f>
        <v/>
      </c>
      <c r="W347">
        <f t="array" ref="W347">IFERROR(INDEX($C$2:$C$501,SMALL(IF($D$2:$D$501="Spain",ROW($D$2:$D$501)-1),ROW()-1)),"")</f>
        <v/>
      </c>
    </row>
    <row r="348">
      <c r="A348" t="n">
        <v>347</v>
      </c>
      <c r="B348" t="inlineStr">
        <is>
          <t>Miller</t>
        </is>
      </c>
      <c r="C348" t="n">
        <v>753</v>
      </c>
      <c r="D348" t="inlineStr">
        <is>
          <t>Germany</t>
        </is>
      </c>
      <c r="E348" t="inlineStr">
        <is>
          <t>Female</t>
        </is>
      </c>
      <c r="F348" t="n">
        <v>30</v>
      </c>
      <c r="G348" t="n">
        <v>7</v>
      </c>
      <c r="H348" t="n">
        <v>151272.33</v>
      </c>
      <c r="I348" t="n">
        <v>2</v>
      </c>
      <c r="J348" t="n">
        <v>0</v>
      </c>
      <c r="K348" t="n">
        <v>0</v>
      </c>
      <c r="L348" t="n">
        <v>12942.16</v>
      </c>
      <c r="M348" t="n">
        <v>0</v>
      </c>
      <c r="O348">
        <f>IF($M348=1,$L348,"")</f>
        <v/>
      </c>
      <c r="P348">
        <f>IF($M348=0,$L348,"")</f>
        <v/>
      </c>
      <c r="R348">
        <f t="array" ref="R348">IFERROR(INDEX($L$2:$L$501,SMALL(IF($M$2:$M$501=1,ROW($M$2:$M$501)-1),ROW()-1)),"")</f>
        <v/>
      </c>
      <c r="S348">
        <f t="array" ref="S348">IFERROR(INDEX($L$2:$L$501,SMALL(IF($M$2:$M$501=0,ROW($M$2:$M$501)-1),ROW()-1)),"")</f>
        <v/>
      </c>
      <c r="U348">
        <f t="array" ref="U348">IFERROR(INDEX($C$2:$C$501,SMALL(IF($D$2:$D$501="France",ROW($D$2:$D$501)-1),ROW()-1)),"")</f>
        <v/>
      </c>
      <c r="V348">
        <f t="array" ref="V348">IFERROR(INDEX($C$2:$C$501,SMALL(IF($D$2:$D$501="Germany",ROW($D$2:$D$501)-1),ROW()-1)),"")</f>
        <v/>
      </c>
      <c r="W348">
        <f t="array" ref="W348">IFERROR(INDEX($C$2:$C$501,SMALL(IF($D$2:$D$501="Spain",ROW($D$2:$D$501)-1),ROW()-1)),"")</f>
        <v/>
      </c>
    </row>
    <row r="349">
      <c r="A349" t="n">
        <v>348</v>
      </c>
      <c r="B349" t="inlineStr">
        <is>
          <t>Moore</t>
        </is>
      </c>
      <c r="C349" t="n">
        <v>739</v>
      </c>
      <c r="D349" t="inlineStr">
        <is>
          <t>Spain</t>
        </is>
      </c>
      <c r="E349" t="inlineStr">
        <is>
          <t>Female</t>
        </is>
      </c>
      <c r="F349" t="n">
        <v>53</v>
      </c>
      <c r="G349" t="n">
        <v>1</v>
      </c>
      <c r="H349" t="n">
        <v>221804.74</v>
      </c>
      <c r="I349" t="n">
        <v>2</v>
      </c>
      <c r="J349" t="n">
        <v>0</v>
      </c>
      <c r="K349" t="n">
        <v>1</v>
      </c>
      <c r="L349" t="n">
        <v>140925.68</v>
      </c>
      <c r="M349" t="n">
        <v>0</v>
      </c>
      <c r="O349">
        <f>IF($M349=1,$L349,"")</f>
        <v/>
      </c>
      <c r="P349">
        <f>IF($M349=0,$L349,"")</f>
        <v/>
      </c>
      <c r="R349">
        <f t="array" ref="R349">IFERROR(INDEX($L$2:$L$501,SMALL(IF($M$2:$M$501=1,ROW($M$2:$M$501)-1),ROW()-1)),"")</f>
        <v/>
      </c>
      <c r="S349">
        <f t="array" ref="S349">IFERROR(INDEX($L$2:$L$501,SMALL(IF($M$2:$M$501=0,ROW($M$2:$M$501)-1),ROW()-1)),"")</f>
        <v/>
      </c>
      <c r="U349">
        <f t="array" ref="U349">IFERROR(INDEX($C$2:$C$501,SMALL(IF($D$2:$D$501="France",ROW($D$2:$D$501)-1),ROW()-1)),"")</f>
        <v/>
      </c>
      <c r="V349">
        <f t="array" ref="V349">IFERROR(INDEX($C$2:$C$501,SMALL(IF($D$2:$D$501="Germany",ROW($D$2:$D$501)-1),ROW()-1)),"")</f>
        <v/>
      </c>
      <c r="W349">
        <f t="array" ref="W349">IFERROR(INDEX($C$2:$C$501,SMALL(IF($D$2:$D$501="Spain",ROW($D$2:$D$501)-1),ROW()-1)),"")</f>
        <v/>
      </c>
    </row>
    <row r="350">
      <c r="A350" t="n">
        <v>349</v>
      </c>
      <c r="B350" t="inlineStr">
        <is>
          <t>Taylor</t>
        </is>
      </c>
      <c r="C350" t="n">
        <v>642</v>
      </c>
      <c r="D350" t="inlineStr">
        <is>
          <t>Spain</t>
        </is>
      </c>
      <c r="E350" t="inlineStr">
        <is>
          <t>Male</t>
        </is>
      </c>
      <c r="F350" t="n">
        <v>80</v>
      </c>
      <c r="G350" t="n">
        <v>5</v>
      </c>
      <c r="H350" t="n">
        <v>141610.87</v>
      </c>
      <c r="I350" t="n">
        <v>1</v>
      </c>
      <c r="J350" t="n">
        <v>1</v>
      </c>
      <c r="K350" t="n">
        <v>0</v>
      </c>
      <c r="L350" t="n">
        <v>35048.16</v>
      </c>
      <c r="M350" t="n">
        <v>0</v>
      </c>
      <c r="O350">
        <f>IF($M350=1,$L350,"")</f>
        <v/>
      </c>
      <c r="P350">
        <f>IF($M350=0,$L350,"")</f>
        <v/>
      </c>
      <c r="R350">
        <f t="array" ref="R350">IFERROR(INDEX($L$2:$L$501,SMALL(IF($M$2:$M$501=1,ROW($M$2:$M$501)-1),ROW()-1)),"")</f>
        <v/>
      </c>
      <c r="S350">
        <f t="array" ref="S350">IFERROR(INDEX($L$2:$L$501,SMALL(IF($M$2:$M$501=0,ROW($M$2:$M$501)-1),ROW()-1)),"")</f>
        <v/>
      </c>
      <c r="U350">
        <f t="array" ref="U350">IFERROR(INDEX($C$2:$C$501,SMALL(IF($D$2:$D$501="France",ROW($D$2:$D$501)-1),ROW()-1)),"")</f>
        <v/>
      </c>
      <c r="V350">
        <f t="array" ref="V350">IFERROR(INDEX($C$2:$C$501,SMALL(IF($D$2:$D$501="Germany",ROW($D$2:$D$501)-1),ROW()-1)),"")</f>
        <v/>
      </c>
      <c r="W350">
        <f t="array" ref="W350">IFERROR(INDEX($C$2:$C$501,SMALL(IF($D$2:$D$501="Spain",ROW($D$2:$D$501)-1),ROW()-1)),"")</f>
        <v/>
      </c>
    </row>
    <row r="351">
      <c r="A351" t="n">
        <v>350</v>
      </c>
      <c r="B351" t="inlineStr">
        <is>
          <t>Moore</t>
        </is>
      </c>
      <c r="C351" t="n">
        <v>433</v>
      </c>
      <c r="D351" t="inlineStr">
        <is>
          <t>Germany</t>
        </is>
      </c>
      <c r="E351" t="inlineStr">
        <is>
          <t>Male</t>
        </is>
      </c>
      <c r="F351" t="n">
        <v>87</v>
      </c>
      <c r="G351" t="n">
        <v>0</v>
      </c>
      <c r="H351" t="n">
        <v>161025.64</v>
      </c>
      <c r="I351" t="n">
        <v>4</v>
      </c>
      <c r="J351" t="n">
        <v>1</v>
      </c>
      <c r="K351" t="n">
        <v>1</v>
      </c>
      <c r="L351" t="n">
        <v>129607.96</v>
      </c>
      <c r="M351" t="n">
        <v>0</v>
      </c>
      <c r="O351">
        <f>IF($M351=1,$L351,"")</f>
        <v/>
      </c>
      <c r="P351">
        <f>IF($M351=0,$L351,"")</f>
        <v/>
      </c>
      <c r="R351">
        <f t="array" ref="R351">IFERROR(INDEX($L$2:$L$501,SMALL(IF($M$2:$M$501=1,ROW($M$2:$M$501)-1),ROW()-1)),"")</f>
        <v/>
      </c>
      <c r="S351">
        <f t="array" ref="S351">IFERROR(INDEX($L$2:$L$501,SMALL(IF($M$2:$M$501=0,ROW($M$2:$M$501)-1),ROW()-1)),"")</f>
        <v/>
      </c>
      <c r="U351">
        <f t="array" ref="U351">IFERROR(INDEX($C$2:$C$501,SMALL(IF($D$2:$D$501="France",ROW($D$2:$D$501)-1),ROW()-1)),"")</f>
        <v/>
      </c>
      <c r="V351">
        <f t="array" ref="V351">IFERROR(INDEX($C$2:$C$501,SMALL(IF($D$2:$D$501="Germany",ROW($D$2:$D$501)-1),ROW()-1)),"")</f>
        <v/>
      </c>
      <c r="W351">
        <f t="array" ref="W351">IFERROR(INDEX($C$2:$C$501,SMALL(IF($D$2:$D$501="Spain",ROW($D$2:$D$501)-1),ROW()-1)),"")</f>
        <v/>
      </c>
    </row>
    <row r="352">
      <c r="A352" t="n">
        <v>351</v>
      </c>
      <c r="B352" t="inlineStr">
        <is>
          <t>Jones</t>
        </is>
      </c>
      <c r="C352" t="n">
        <v>477</v>
      </c>
      <c r="D352" t="inlineStr">
        <is>
          <t>Germany</t>
        </is>
      </c>
      <c r="E352" t="inlineStr">
        <is>
          <t>Male</t>
        </is>
      </c>
      <c r="F352" t="n">
        <v>80</v>
      </c>
      <c r="G352" t="n">
        <v>7</v>
      </c>
      <c r="H352" t="n">
        <v>69980.85000000001</v>
      </c>
      <c r="I352" t="n">
        <v>4</v>
      </c>
      <c r="J352" t="n">
        <v>1</v>
      </c>
      <c r="K352" t="n">
        <v>0</v>
      </c>
      <c r="L352" t="n">
        <v>112678.04</v>
      </c>
      <c r="M352" t="n">
        <v>0</v>
      </c>
      <c r="O352">
        <f>IF($M352=1,$L352,"")</f>
        <v/>
      </c>
      <c r="P352">
        <f>IF($M352=0,$L352,"")</f>
        <v/>
      </c>
      <c r="R352">
        <f t="array" ref="R352">IFERROR(INDEX($L$2:$L$501,SMALL(IF($M$2:$M$501=1,ROW($M$2:$M$501)-1),ROW()-1)),"")</f>
        <v/>
      </c>
      <c r="S352">
        <f t="array" ref="S352">IFERROR(INDEX($L$2:$L$501,SMALL(IF($M$2:$M$501=0,ROW($M$2:$M$501)-1),ROW()-1)),"")</f>
        <v/>
      </c>
      <c r="U352">
        <f t="array" ref="U352">IFERROR(INDEX($C$2:$C$501,SMALL(IF($D$2:$D$501="France",ROW($D$2:$D$501)-1),ROW()-1)),"")</f>
        <v/>
      </c>
      <c r="V352">
        <f t="array" ref="V352">IFERROR(INDEX($C$2:$C$501,SMALL(IF($D$2:$D$501="Germany",ROW($D$2:$D$501)-1),ROW()-1)),"")</f>
        <v/>
      </c>
      <c r="W352">
        <f t="array" ref="W352">IFERROR(INDEX($C$2:$C$501,SMALL(IF($D$2:$D$501="Spain",ROW($D$2:$D$501)-1),ROW()-1)),"")</f>
        <v/>
      </c>
    </row>
    <row r="353">
      <c r="A353" t="n">
        <v>352</v>
      </c>
      <c r="B353" t="inlineStr">
        <is>
          <t>Miller</t>
        </is>
      </c>
      <c r="C353" t="n">
        <v>834</v>
      </c>
      <c r="D353" t="inlineStr">
        <is>
          <t>France</t>
        </is>
      </c>
      <c r="E353" t="inlineStr">
        <is>
          <t>Male</t>
        </is>
      </c>
      <c r="F353" t="n">
        <v>76</v>
      </c>
      <c r="G353" t="n">
        <v>8</v>
      </c>
      <c r="H353" t="n">
        <v>77216.62</v>
      </c>
      <c r="I353" t="n">
        <v>4</v>
      </c>
      <c r="J353" t="n">
        <v>0</v>
      </c>
      <c r="K353" t="n">
        <v>0</v>
      </c>
      <c r="L353" t="n">
        <v>104636.55</v>
      </c>
      <c r="M353" t="n">
        <v>1</v>
      </c>
      <c r="O353">
        <f>IF($M353=1,$L353,"")</f>
        <v/>
      </c>
      <c r="P353">
        <f>IF($M353=0,$L353,"")</f>
        <v/>
      </c>
      <c r="R353">
        <f t="array" ref="R353">IFERROR(INDEX($L$2:$L$501,SMALL(IF($M$2:$M$501=1,ROW($M$2:$M$501)-1),ROW()-1)),"")</f>
        <v/>
      </c>
      <c r="S353">
        <f t="array" ref="S353">IFERROR(INDEX($L$2:$L$501,SMALL(IF($M$2:$M$501=0,ROW($M$2:$M$501)-1),ROW()-1)),"")</f>
        <v/>
      </c>
      <c r="U353">
        <f t="array" ref="U353">IFERROR(INDEX($C$2:$C$501,SMALL(IF($D$2:$D$501="France",ROW($D$2:$D$501)-1),ROW()-1)),"")</f>
        <v/>
      </c>
      <c r="V353">
        <f t="array" ref="V353">IFERROR(INDEX($C$2:$C$501,SMALL(IF($D$2:$D$501="Germany",ROW($D$2:$D$501)-1),ROW()-1)),"")</f>
        <v/>
      </c>
      <c r="W353">
        <f t="array" ref="W353">IFERROR(INDEX($C$2:$C$501,SMALL(IF($D$2:$D$501="Spain",ROW($D$2:$D$501)-1),ROW()-1)),"")</f>
        <v/>
      </c>
    </row>
    <row r="354">
      <c r="A354" t="n">
        <v>353</v>
      </c>
      <c r="B354" t="inlineStr">
        <is>
          <t>Johnson</t>
        </is>
      </c>
      <c r="C354" t="n">
        <v>611</v>
      </c>
      <c r="D354" t="inlineStr">
        <is>
          <t>Germany</t>
        </is>
      </c>
      <c r="E354" t="inlineStr">
        <is>
          <t>Female</t>
        </is>
      </c>
      <c r="F354" t="n">
        <v>36</v>
      </c>
      <c r="G354" t="n">
        <v>4</v>
      </c>
      <c r="H354" t="n">
        <v>124751.31</v>
      </c>
      <c r="I354" t="n">
        <v>1</v>
      </c>
      <c r="J354" t="n">
        <v>0</v>
      </c>
      <c r="K354" t="n">
        <v>0</v>
      </c>
      <c r="L354" t="n">
        <v>16581.23</v>
      </c>
      <c r="M354" t="n">
        <v>1</v>
      </c>
      <c r="O354">
        <f>IF($M354=1,$L354,"")</f>
        <v/>
      </c>
      <c r="P354">
        <f>IF($M354=0,$L354,"")</f>
        <v/>
      </c>
      <c r="R354">
        <f t="array" ref="R354">IFERROR(INDEX($L$2:$L$501,SMALL(IF($M$2:$M$501=1,ROW($M$2:$M$501)-1),ROW()-1)),"")</f>
        <v/>
      </c>
      <c r="S354">
        <f t="array" ref="S354">IFERROR(INDEX($L$2:$L$501,SMALL(IF($M$2:$M$501=0,ROW($M$2:$M$501)-1),ROW()-1)),"")</f>
        <v/>
      </c>
      <c r="U354">
        <f t="array" ref="U354">IFERROR(INDEX($C$2:$C$501,SMALL(IF($D$2:$D$501="France",ROW($D$2:$D$501)-1),ROW()-1)),"")</f>
        <v/>
      </c>
      <c r="V354">
        <f t="array" ref="V354">IFERROR(INDEX($C$2:$C$501,SMALL(IF($D$2:$D$501="Germany",ROW($D$2:$D$501)-1),ROW()-1)),"")</f>
        <v/>
      </c>
      <c r="W354">
        <f t="array" ref="W354">IFERROR(INDEX($C$2:$C$501,SMALL(IF($D$2:$D$501="Spain",ROW($D$2:$D$501)-1),ROW()-1)),"")</f>
        <v/>
      </c>
    </row>
    <row r="355">
      <c r="A355" t="n">
        <v>354</v>
      </c>
      <c r="B355" t="inlineStr">
        <is>
          <t>Wilson</t>
        </is>
      </c>
      <c r="C355" t="n">
        <v>698</v>
      </c>
      <c r="D355" t="inlineStr">
        <is>
          <t>France</t>
        </is>
      </c>
      <c r="E355" t="inlineStr">
        <is>
          <t>Female</t>
        </is>
      </c>
      <c r="F355" t="n">
        <v>18</v>
      </c>
      <c r="G355" t="n">
        <v>5</v>
      </c>
      <c r="H355" t="n">
        <v>142139.92</v>
      </c>
      <c r="I355" t="n">
        <v>2</v>
      </c>
      <c r="J355" t="n">
        <v>0</v>
      </c>
      <c r="K355" t="n">
        <v>1</v>
      </c>
      <c r="L355" t="n">
        <v>89777.41</v>
      </c>
      <c r="M355" t="n">
        <v>0</v>
      </c>
      <c r="O355">
        <f>IF($M355=1,$L355,"")</f>
        <v/>
      </c>
      <c r="P355">
        <f>IF($M355=0,$L355,"")</f>
        <v/>
      </c>
      <c r="R355">
        <f t="array" ref="R355">IFERROR(INDEX($L$2:$L$501,SMALL(IF($M$2:$M$501=1,ROW($M$2:$M$501)-1),ROW()-1)),"")</f>
        <v/>
      </c>
      <c r="S355">
        <f t="array" ref="S355">IFERROR(INDEX($L$2:$L$501,SMALL(IF($M$2:$M$501=0,ROW($M$2:$M$501)-1),ROW()-1)),"")</f>
        <v/>
      </c>
      <c r="U355">
        <f t="array" ref="U355">IFERROR(INDEX($C$2:$C$501,SMALL(IF($D$2:$D$501="France",ROW($D$2:$D$501)-1),ROW()-1)),"")</f>
        <v/>
      </c>
      <c r="V355">
        <f t="array" ref="V355">IFERROR(INDEX($C$2:$C$501,SMALL(IF($D$2:$D$501="Germany",ROW($D$2:$D$501)-1),ROW()-1)),"")</f>
        <v/>
      </c>
      <c r="W355">
        <f t="array" ref="W355">IFERROR(INDEX($C$2:$C$501,SMALL(IF($D$2:$D$501="Spain",ROW($D$2:$D$501)-1),ROW()-1)),"")</f>
        <v/>
      </c>
    </row>
    <row r="356">
      <c r="A356" t="n">
        <v>355</v>
      </c>
      <c r="B356" t="inlineStr">
        <is>
          <t>Brown</t>
        </is>
      </c>
      <c r="C356" t="n">
        <v>810</v>
      </c>
      <c r="D356" t="inlineStr">
        <is>
          <t>Germany</t>
        </is>
      </c>
      <c r="E356" t="inlineStr">
        <is>
          <t>Male</t>
        </is>
      </c>
      <c r="F356" t="n">
        <v>19</v>
      </c>
      <c r="G356" t="n">
        <v>2</v>
      </c>
      <c r="H356" t="n">
        <v>136582.23</v>
      </c>
      <c r="I356" t="n">
        <v>2</v>
      </c>
      <c r="J356" t="n">
        <v>1</v>
      </c>
      <c r="K356" t="n">
        <v>0</v>
      </c>
      <c r="L356" t="n">
        <v>146255.77</v>
      </c>
      <c r="M356" t="n">
        <v>1</v>
      </c>
      <c r="O356">
        <f>IF($M356=1,$L356,"")</f>
        <v/>
      </c>
      <c r="P356">
        <f>IF($M356=0,$L356,"")</f>
        <v/>
      </c>
      <c r="R356">
        <f t="array" ref="R356">IFERROR(INDEX($L$2:$L$501,SMALL(IF($M$2:$M$501=1,ROW($M$2:$M$501)-1),ROW()-1)),"")</f>
        <v/>
      </c>
      <c r="S356">
        <f t="array" ref="S356">IFERROR(INDEX($L$2:$L$501,SMALL(IF($M$2:$M$501=0,ROW($M$2:$M$501)-1),ROW()-1)),"")</f>
        <v/>
      </c>
      <c r="U356">
        <f t="array" ref="U356">IFERROR(INDEX($C$2:$C$501,SMALL(IF($D$2:$D$501="France",ROW($D$2:$D$501)-1),ROW()-1)),"")</f>
        <v/>
      </c>
      <c r="V356">
        <f t="array" ref="V356">IFERROR(INDEX($C$2:$C$501,SMALL(IF($D$2:$D$501="Germany",ROW($D$2:$D$501)-1),ROW()-1)),"")</f>
        <v/>
      </c>
      <c r="W356">
        <f t="array" ref="W356">IFERROR(INDEX($C$2:$C$501,SMALL(IF($D$2:$D$501="Spain",ROW($D$2:$D$501)-1),ROW()-1)),"")</f>
        <v/>
      </c>
    </row>
    <row r="357">
      <c r="A357" t="n">
        <v>356</v>
      </c>
      <c r="B357" t="inlineStr">
        <is>
          <t>Taylor</t>
        </is>
      </c>
      <c r="C357" t="n">
        <v>504</v>
      </c>
      <c r="D357" t="inlineStr">
        <is>
          <t>Spain</t>
        </is>
      </c>
      <c r="E357" t="inlineStr">
        <is>
          <t>Female</t>
        </is>
      </c>
      <c r="F357" t="n">
        <v>39</v>
      </c>
      <c r="G357" t="n">
        <v>0</v>
      </c>
      <c r="H357" t="n">
        <v>65011.59</v>
      </c>
      <c r="I357" t="n">
        <v>2</v>
      </c>
      <c r="J357" t="n">
        <v>1</v>
      </c>
      <c r="K357" t="n">
        <v>1</v>
      </c>
      <c r="L357" t="n">
        <v>100509.25</v>
      </c>
      <c r="M357" t="n">
        <v>1</v>
      </c>
      <c r="O357">
        <f>IF($M357=1,$L357,"")</f>
        <v/>
      </c>
      <c r="P357">
        <f>IF($M357=0,$L357,"")</f>
        <v/>
      </c>
      <c r="R357">
        <f t="array" ref="R357">IFERROR(INDEX($L$2:$L$501,SMALL(IF($M$2:$M$501=1,ROW($M$2:$M$501)-1),ROW()-1)),"")</f>
        <v/>
      </c>
      <c r="S357">
        <f t="array" ref="S357">IFERROR(INDEX($L$2:$L$501,SMALL(IF($M$2:$M$501=0,ROW($M$2:$M$501)-1),ROW()-1)),"")</f>
        <v/>
      </c>
      <c r="U357">
        <f t="array" ref="U357">IFERROR(INDEX($C$2:$C$501,SMALL(IF($D$2:$D$501="France",ROW($D$2:$D$501)-1),ROW()-1)),"")</f>
        <v/>
      </c>
      <c r="V357">
        <f t="array" ref="V357">IFERROR(INDEX($C$2:$C$501,SMALL(IF($D$2:$D$501="Germany",ROW($D$2:$D$501)-1),ROW()-1)),"")</f>
        <v/>
      </c>
      <c r="W357">
        <f t="array" ref="W357">IFERROR(INDEX($C$2:$C$501,SMALL(IF($D$2:$D$501="Spain",ROW($D$2:$D$501)-1),ROW()-1)),"")</f>
        <v/>
      </c>
    </row>
    <row r="358">
      <c r="A358" t="n">
        <v>357</v>
      </c>
      <c r="B358" t="inlineStr">
        <is>
          <t>Williams</t>
        </is>
      </c>
      <c r="C358" t="n">
        <v>591</v>
      </c>
      <c r="D358" t="inlineStr">
        <is>
          <t>Spain</t>
        </is>
      </c>
      <c r="E358" t="inlineStr">
        <is>
          <t>Female</t>
        </is>
      </c>
      <c r="F358" t="n">
        <v>31</v>
      </c>
      <c r="G358" t="n">
        <v>8</v>
      </c>
      <c r="H358" t="n">
        <v>36493.35</v>
      </c>
      <c r="I358" t="n">
        <v>2</v>
      </c>
      <c r="J358" t="n">
        <v>1</v>
      </c>
      <c r="K358" t="n">
        <v>0</v>
      </c>
      <c r="L358" t="n">
        <v>50480.54</v>
      </c>
      <c r="M358" t="n">
        <v>1</v>
      </c>
      <c r="O358">
        <f>IF($M358=1,$L358,"")</f>
        <v/>
      </c>
      <c r="P358">
        <f>IF($M358=0,$L358,"")</f>
        <v/>
      </c>
      <c r="R358">
        <f t="array" ref="R358">IFERROR(INDEX($L$2:$L$501,SMALL(IF($M$2:$M$501=1,ROW($M$2:$M$501)-1),ROW()-1)),"")</f>
        <v/>
      </c>
      <c r="S358">
        <f t="array" ref="S358">IFERROR(INDEX($L$2:$L$501,SMALL(IF($M$2:$M$501=0,ROW($M$2:$M$501)-1),ROW()-1)),"")</f>
        <v/>
      </c>
      <c r="U358">
        <f t="array" ref="U358">IFERROR(INDEX($C$2:$C$501,SMALL(IF($D$2:$D$501="France",ROW($D$2:$D$501)-1),ROW()-1)),"")</f>
        <v/>
      </c>
      <c r="V358">
        <f t="array" ref="V358">IFERROR(INDEX($C$2:$C$501,SMALL(IF($D$2:$D$501="Germany",ROW($D$2:$D$501)-1),ROW()-1)),"")</f>
        <v/>
      </c>
      <c r="W358">
        <f t="array" ref="W358">IFERROR(INDEX($C$2:$C$501,SMALL(IF($D$2:$D$501="Spain",ROW($D$2:$D$501)-1),ROW()-1)),"")</f>
        <v/>
      </c>
    </row>
    <row r="359">
      <c r="A359" t="n">
        <v>358</v>
      </c>
      <c r="B359" t="inlineStr">
        <is>
          <t>Smith</t>
        </is>
      </c>
      <c r="C359" t="n">
        <v>433</v>
      </c>
      <c r="D359" t="inlineStr">
        <is>
          <t>Spain</t>
        </is>
      </c>
      <c r="E359" t="inlineStr">
        <is>
          <t>Female</t>
        </is>
      </c>
      <c r="F359" t="n">
        <v>85</v>
      </c>
      <c r="G359" t="n">
        <v>6</v>
      </c>
      <c r="H359" t="n">
        <v>92093.09</v>
      </c>
      <c r="I359" t="n">
        <v>4</v>
      </c>
      <c r="J359" t="n">
        <v>0</v>
      </c>
      <c r="K359" t="n">
        <v>1</v>
      </c>
      <c r="L359" t="n">
        <v>117465.12</v>
      </c>
      <c r="M359" t="n">
        <v>1</v>
      </c>
      <c r="O359">
        <f>IF($M359=1,$L359,"")</f>
        <v/>
      </c>
      <c r="P359">
        <f>IF($M359=0,$L359,"")</f>
        <v/>
      </c>
      <c r="R359">
        <f t="array" ref="R359">IFERROR(INDEX($L$2:$L$501,SMALL(IF($M$2:$M$501=1,ROW($M$2:$M$501)-1),ROW()-1)),"")</f>
        <v/>
      </c>
      <c r="S359">
        <f t="array" ref="S359">IFERROR(INDEX($L$2:$L$501,SMALL(IF($M$2:$M$501=0,ROW($M$2:$M$501)-1),ROW()-1)),"")</f>
        <v/>
      </c>
      <c r="U359">
        <f t="array" ref="U359">IFERROR(INDEX($C$2:$C$501,SMALL(IF($D$2:$D$501="France",ROW($D$2:$D$501)-1),ROW()-1)),"")</f>
        <v/>
      </c>
      <c r="V359">
        <f t="array" ref="V359">IFERROR(INDEX($C$2:$C$501,SMALL(IF($D$2:$D$501="Germany",ROW($D$2:$D$501)-1),ROW()-1)),"")</f>
        <v/>
      </c>
      <c r="W359">
        <f t="array" ref="W359">IFERROR(INDEX($C$2:$C$501,SMALL(IF($D$2:$D$501="Spain",ROW($D$2:$D$501)-1),ROW()-1)),"")</f>
        <v/>
      </c>
    </row>
    <row r="360">
      <c r="A360" t="n">
        <v>359</v>
      </c>
      <c r="B360" t="inlineStr">
        <is>
          <t>Moore</t>
        </is>
      </c>
      <c r="C360" t="n">
        <v>746</v>
      </c>
      <c r="D360" t="inlineStr">
        <is>
          <t>Germany</t>
        </is>
      </c>
      <c r="E360" t="inlineStr">
        <is>
          <t>Female</t>
        </is>
      </c>
      <c r="F360" t="n">
        <v>35</v>
      </c>
      <c r="G360" t="n">
        <v>5</v>
      </c>
      <c r="H360" t="n">
        <v>196029.87</v>
      </c>
      <c r="I360" t="n">
        <v>4</v>
      </c>
      <c r="J360" t="n">
        <v>1</v>
      </c>
      <c r="K360" t="n">
        <v>0</v>
      </c>
      <c r="L360" t="n">
        <v>77933.48</v>
      </c>
      <c r="M360" t="n">
        <v>0</v>
      </c>
      <c r="O360">
        <f>IF($M360=1,$L360,"")</f>
        <v/>
      </c>
      <c r="P360">
        <f>IF($M360=0,$L360,"")</f>
        <v/>
      </c>
      <c r="R360">
        <f t="array" ref="R360">IFERROR(INDEX($L$2:$L$501,SMALL(IF($M$2:$M$501=1,ROW($M$2:$M$501)-1),ROW()-1)),"")</f>
        <v/>
      </c>
      <c r="S360">
        <f t="array" ref="S360">IFERROR(INDEX($L$2:$L$501,SMALL(IF($M$2:$M$501=0,ROW($M$2:$M$501)-1),ROW()-1)),"")</f>
        <v/>
      </c>
      <c r="U360">
        <f t="array" ref="U360">IFERROR(INDEX($C$2:$C$501,SMALL(IF($D$2:$D$501="France",ROW($D$2:$D$501)-1),ROW()-1)),"")</f>
        <v/>
      </c>
      <c r="V360">
        <f t="array" ref="V360">IFERROR(INDEX($C$2:$C$501,SMALL(IF($D$2:$D$501="Germany",ROW($D$2:$D$501)-1),ROW()-1)),"")</f>
        <v/>
      </c>
      <c r="W360">
        <f t="array" ref="W360">IFERROR(INDEX($C$2:$C$501,SMALL(IF($D$2:$D$501="Spain",ROW($D$2:$D$501)-1),ROW()-1)),"")</f>
        <v/>
      </c>
    </row>
    <row r="361">
      <c r="A361" t="n">
        <v>360</v>
      </c>
      <c r="B361" t="inlineStr">
        <is>
          <t>Williams</t>
        </is>
      </c>
      <c r="C361" t="n">
        <v>836</v>
      </c>
      <c r="D361" t="inlineStr">
        <is>
          <t>France</t>
        </is>
      </c>
      <c r="E361" t="inlineStr">
        <is>
          <t>Female</t>
        </is>
      </c>
      <c r="F361" t="n">
        <v>23</v>
      </c>
      <c r="G361" t="n">
        <v>3</v>
      </c>
      <c r="H361" t="n">
        <v>149033.25</v>
      </c>
      <c r="I361" t="n">
        <v>2</v>
      </c>
      <c r="J361" t="n">
        <v>0</v>
      </c>
      <c r="K361" t="n">
        <v>0</v>
      </c>
      <c r="L361" t="n">
        <v>26370.52</v>
      </c>
      <c r="M361" t="n">
        <v>1</v>
      </c>
      <c r="O361">
        <f>IF($M361=1,$L361,"")</f>
        <v/>
      </c>
      <c r="P361">
        <f>IF($M361=0,$L361,"")</f>
        <v/>
      </c>
      <c r="R361">
        <f t="array" ref="R361">IFERROR(INDEX($L$2:$L$501,SMALL(IF($M$2:$M$501=1,ROW($M$2:$M$501)-1),ROW()-1)),"")</f>
        <v/>
      </c>
      <c r="S361">
        <f t="array" ref="S361">IFERROR(INDEX($L$2:$L$501,SMALL(IF($M$2:$M$501=0,ROW($M$2:$M$501)-1),ROW()-1)),"")</f>
        <v/>
      </c>
      <c r="U361">
        <f t="array" ref="U361">IFERROR(INDEX($C$2:$C$501,SMALL(IF($D$2:$D$501="France",ROW($D$2:$D$501)-1),ROW()-1)),"")</f>
        <v/>
      </c>
      <c r="V361">
        <f t="array" ref="V361">IFERROR(INDEX($C$2:$C$501,SMALL(IF($D$2:$D$501="Germany",ROW($D$2:$D$501)-1),ROW()-1)),"")</f>
        <v/>
      </c>
      <c r="W361">
        <f t="array" ref="W361">IFERROR(INDEX($C$2:$C$501,SMALL(IF($D$2:$D$501="Spain",ROW($D$2:$D$501)-1),ROW()-1)),"")</f>
        <v/>
      </c>
    </row>
    <row r="362">
      <c r="A362" t="n">
        <v>361</v>
      </c>
      <c r="B362" t="inlineStr">
        <is>
          <t>Wilson</t>
        </is>
      </c>
      <c r="C362" t="n">
        <v>485</v>
      </c>
      <c r="D362" t="inlineStr">
        <is>
          <t>Spain</t>
        </is>
      </c>
      <c r="E362" t="inlineStr">
        <is>
          <t>Female</t>
        </is>
      </c>
      <c r="F362" t="n">
        <v>44</v>
      </c>
      <c r="G362" t="n">
        <v>8</v>
      </c>
      <c r="H362" t="n">
        <v>45468.26</v>
      </c>
      <c r="I362" t="n">
        <v>2</v>
      </c>
      <c r="J362" t="n">
        <v>1</v>
      </c>
      <c r="K362" t="n">
        <v>1</v>
      </c>
      <c r="L362" t="n">
        <v>132665.08</v>
      </c>
      <c r="M362" t="n">
        <v>0</v>
      </c>
      <c r="O362">
        <f>IF($M362=1,$L362,"")</f>
        <v/>
      </c>
      <c r="P362">
        <f>IF($M362=0,$L362,"")</f>
        <v/>
      </c>
      <c r="R362">
        <f t="array" ref="R362">IFERROR(INDEX($L$2:$L$501,SMALL(IF($M$2:$M$501=1,ROW($M$2:$M$501)-1),ROW()-1)),"")</f>
        <v/>
      </c>
      <c r="S362">
        <f t="array" ref="S362">IFERROR(INDEX($L$2:$L$501,SMALL(IF($M$2:$M$501=0,ROW($M$2:$M$501)-1),ROW()-1)),"")</f>
        <v/>
      </c>
      <c r="U362">
        <f t="array" ref="U362">IFERROR(INDEX($C$2:$C$501,SMALL(IF($D$2:$D$501="France",ROW($D$2:$D$501)-1),ROW()-1)),"")</f>
        <v/>
      </c>
      <c r="V362">
        <f t="array" ref="V362">IFERROR(INDEX($C$2:$C$501,SMALL(IF($D$2:$D$501="Germany",ROW($D$2:$D$501)-1),ROW()-1)),"")</f>
        <v/>
      </c>
      <c r="W362">
        <f t="array" ref="W362">IFERROR(INDEX($C$2:$C$501,SMALL(IF($D$2:$D$501="Spain",ROW($D$2:$D$501)-1),ROW()-1)),"")</f>
        <v/>
      </c>
    </row>
    <row r="363">
      <c r="A363" t="n">
        <v>362</v>
      </c>
      <c r="B363" t="inlineStr">
        <is>
          <t>Moore</t>
        </is>
      </c>
      <c r="C363" t="n">
        <v>530</v>
      </c>
      <c r="D363" t="inlineStr">
        <is>
          <t>France</t>
        </is>
      </c>
      <c r="E363" t="inlineStr">
        <is>
          <t>Male</t>
        </is>
      </c>
      <c r="F363" t="n">
        <v>81</v>
      </c>
      <c r="G363" t="n">
        <v>10</v>
      </c>
      <c r="H363" t="n">
        <v>58304.43</v>
      </c>
      <c r="I363" t="n">
        <v>1</v>
      </c>
      <c r="J363" t="n">
        <v>0</v>
      </c>
      <c r="K363" t="n">
        <v>0</v>
      </c>
      <c r="L363" t="n">
        <v>122633.44</v>
      </c>
      <c r="M363" t="n">
        <v>0</v>
      </c>
      <c r="O363">
        <f>IF($M363=1,$L363,"")</f>
        <v/>
      </c>
      <c r="P363">
        <f>IF($M363=0,$L363,"")</f>
        <v/>
      </c>
      <c r="R363">
        <f t="array" ref="R363">IFERROR(INDEX($L$2:$L$501,SMALL(IF($M$2:$M$501=1,ROW($M$2:$M$501)-1),ROW()-1)),"")</f>
        <v/>
      </c>
      <c r="S363">
        <f t="array" ref="S363">IFERROR(INDEX($L$2:$L$501,SMALL(IF($M$2:$M$501=0,ROW($M$2:$M$501)-1),ROW()-1)),"")</f>
        <v/>
      </c>
      <c r="U363">
        <f t="array" ref="U363">IFERROR(INDEX($C$2:$C$501,SMALL(IF($D$2:$D$501="France",ROW($D$2:$D$501)-1),ROW()-1)),"")</f>
        <v/>
      </c>
      <c r="V363">
        <f t="array" ref="V363">IFERROR(INDEX($C$2:$C$501,SMALL(IF($D$2:$D$501="Germany",ROW($D$2:$D$501)-1),ROW()-1)),"")</f>
        <v/>
      </c>
      <c r="W363">
        <f t="array" ref="W363">IFERROR(INDEX($C$2:$C$501,SMALL(IF($D$2:$D$501="Spain",ROW($D$2:$D$501)-1),ROW()-1)),"")</f>
        <v/>
      </c>
    </row>
    <row r="364">
      <c r="A364" t="n">
        <v>363</v>
      </c>
      <c r="B364" t="inlineStr">
        <is>
          <t>Brown</t>
        </is>
      </c>
      <c r="C364" t="n">
        <v>430</v>
      </c>
      <c r="D364" t="inlineStr">
        <is>
          <t>Spain</t>
        </is>
      </c>
      <c r="E364" t="inlineStr">
        <is>
          <t>Female</t>
        </is>
      </c>
      <c r="F364" t="n">
        <v>45</v>
      </c>
      <c r="G364" t="n">
        <v>9</v>
      </c>
      <c r="H364" t="n">
        <v>226048.06</v>
      </c>
      <c r="I364" t="n">
        <v>4</v>
      </c>
      <c r="J364" t="n">
        <v>1</v>
      </c>
      <c r="K364" t="n">
        <v>1</v>
      </c>
      <c r="L364" t="n">
        <v>13741.1</v>
      </c>
      <c r="M364" t="n">
        <v>1</v>
      </c>
      <c r="O364">
        <f>IF($M364=1,$L364,"")</f>
        <v/>
      </c>
      <c r="P364">
        <f>IF($M364=0,$L364,"")</f>
        <v/>
      </c>
      <c r="R364">
        <f t="array" ref="R364">IFERROR(INDEX($L$2:$L$501,SMALL(IF($M$2:$M$501=1,ROW($M$2:$M$501)-1),ROW()-1)),"")</f>
        <v/>
      </c>
      <c r="S364">
        <f t="array" ref="S364">IFERROR(INDEX($L$2:$L$501,SMALL(IF($M$2:$M$501=0,ROW($M$2:$M$501)-1),ROW()-1)),"")</f>
        <v/>
      </c>
      <c r="U364">
        <f t="array" ref="U364">IFERROR(INDEX($C$2:$C$501,SMALL(IF($D$2:$D$501="France",ROW($D$2:$D$501)-1),ROW()-1)),"")</f>
        <v/>
      </c>
      <c r="V364">
        <f t="array" ref="V364">IFERROR(INDEX($C$2:$C$501,SMALL(IF($D$2:$D$501="Germany",ROW($D$2:$D$501)-1),ROW()-1)),"")</f>
        <v/>
      </c>
      <c r="W364">
        <f t="array" ref="W364">IFERROR(INDEX($C$2:$C$501,SMALL(IF($D$2:$D$501="Spain",ROW($D$2:$D$501)-1),ROW()-1)),"")</f>
        <v/>
      </c>
    </row>
    <row r="365">
      <c r="A365" t="n">
        <v>364</v>
      </c>
      <c r="B365" t="inlineStr">
        <is>
          <t>Brown</t>
        </is>
      </c>
      <c r="C365" t="n">
        <v>763</v>
      </c>
      <c r="D365" t="inlineStr">
        <is>
          <t>France</t>
        </is>
      </c>
      <c r="E365" t="inlineStr">
        <is>
          <t>Female</t>
        </is>
      </c>
      <c r="F365" t="n">
        <v>59</v>
      </c>
      <c r="G365" t="n">
        <v>0</v>
      </c>
      <c r="H365" t="n">
        <v>99046.96000000001</v>
      </c>
      <c r="I365" t="n">
        <v>4</v>
      </c>
      <c r="J365" t="n">
        <v>1</v>
      </c>
      <c r="K365" t="n">
        <v>0</v>
      </c>
      <c r="L365" t="n">
        <v>15699.41</v>
      </c>
      <c r="M365" t="n">
        <v>0</v>
      </c>
      <c r="O365">
        <f>IF($M365=1,$L365,"")</f>
        <v/>
      </c>
      <c r="P365">
        <f>IF($M365=0,$L365,"")</f>
        <v/>
      </c>
      <c r="R365">
        <f t="array" ref="R365">IFERROR(INDEX($L$2:$L$501,SMALL(IF($M$2:$M$501=1,ROW($M$2:$M$501)-1),ROW()-1)),"")</f>
        <v/>
      </c>
      <c r="S365">
        <f t="array" ref="S365">IFERROR(INDEX($L$2:$L$501,SMALL(IF($M$2:$M$501=0,ROW($M$2:$M$501)-1),ROW()-1)),"")</f>
        <v/>
      </c>
      <c r="U365">
        <f t="array" ref="U365">IFERROR(INDEX($C$2:$C$501,SMALL(IF($D$2:$D$501="France",ROW($D$2:$D$501)-1),ROW()-1)),"")</f>
        <v/>
      </c>
      <c r="V365">
        <f t="array" ref="V365">IFERROR(INDEX($C$2:$C$501,SMALL(IF($D$2:$D$501="Germany",ROW($D$2:$D$501)-1),ROW()-1)),"")</f>
        <v/>
      </c>
      <c r="W365">
        <f t="array" ref="W365">IFERROR(INDEX($C$2:$C$501,SMALL(IF($D$2:$D$501="Spain",ROW($D$2:$D$501)-1),ROW()-1)),"")</f>
        <v/>
      </c>
    </row>
    <row r="366">
      <c r="A366" t="n">
        <v>365</v>
      </c>
      <c r="B366" t="inlineStr">
        <is>
          <t>Johnson</t>
        </is>
      </c>
      <c r="C366" t="n">
        <v>350</v>
      </c>
      <c r="D366" t="inlineStr">
        <is>
          <t>Germany</t>
        </is>
      </c>
      <c r="E366" t="inlineStr">
        <is>
          <t>Female</t>
        </is>
      </c>
      <c r="F366" t="n">
        <v>31</v>
      </c>
      <c r="G366" t="n">
        <v>10</v>
      </c>
      <c r="H366" t="n">
        <v>213425.22</v>
      </c>
      <c r="I366" t="n">
        <v>2</v>
      </c>
      <c r="J366" t="n">
        <v>0</v>
      </c>
      <c r="K366" t="n">
        <v>0</v>
      </c>
      <c r="L366" t="n">
        <v>36418.23</v>
      </c>
      <c r="M366" t="n">
        <v>1</v>
      </c>
      <c r="O366">
        <f>IF($M366=1,$L366,"")</f>
        <v/>
      </c>
      <c r="P366">
        <f>IF($M366=0,$L366,"")</f>
        <v/>
      </c>
      <c r="R366">
        <f t="array" ref="R366">IFERROR(INDEX($L$2:$L$501,SMALL(IF($M$2:$M$501=1,ROW($M$2:$M$501)-1),ROW()-1)),"")</f>
        <v/>
      </c>
      <c r="S366">
        <f t="array" ref="S366">IFERROR(INDEX($L$2:$L$501,SMALL(IF($M$2:$M$501=0,ROW($M$2:$M$501)-1),ROW()-1)),"")</f>
        <v/>
      </c>
      <c r="U366">
        <f t="array" ref="U366">IFERROR(INDEX($C$2:$C$501,SMALL(IF($D$2:$D$501="France",ROW($D$2:$D$501)-1),ROW()-1)),"")</f>
        <v/>
      </c>
      <c r="V366">
        <f t="array" ref="V366">IFERROR(INDEX($C$2:$C$501,SMALL(IF($D$2:$D$501="Germany",ROW($D$2:$D$501)-1),ROW()-1)),"")</f>
        <v/>
      </c>
      <c r="W366">
        <f t="array" ref="W366">IFERROR(INDEX($C$2:$C$501,SMALL(IF($D$2:$D$501="Spain",ROW($D$2:$D$501)-1),ROW()-1)),"")</f>
        <v/>
      </c>
    </row>
    <row r="367">
      <c r="A367" t="n">
        <v>366</v>
      </c>
      <c r="B367" t="inlineStr">
        <is>
          <t>Wilson</t>
        </is>
      </c>
      <c r="C367" t="n">
        <v>565</v>
      </c>
      <c r="D367" t="inlineStr">
        <is>
          <t>Germany</t>
        </is>
      </c>
      <c r="E367" t="inlineStr">
        <is>
          <t>Male</t>
        </is>
      </c>
      <c r="F367" t="n">
        <v>63</v>
      </c>
      <c r="G367" t="n">
        <v>7</v>
      </c>
      <c r="H367" t="n">
        <v>244367.77</v>
      </c>
      <c r="I367" t="n">
        <v>4</v>
      </c>
      <c r="J367" t="n">
        <v>1</v>
      </c>
      <c r="K367" t="n">
        <v>1</v>
      </c>
      <c r="L367" t="n">
        <v>130825.14</v>
      </c>
      <c r="M367" t="n">
        <v>0</v>
      </c>
      <c r="O367">
        <f>IF($M367=1,$L367,"")</f>
        <v/>
      </c>
      <c r="P367">
        <f>IF($M367=0,$L367,"")</f>
        <v/>
      </c>
      <c r="R367">
        <f t="array" ref="R367">IFERROR(INDEX($L$2:$L$501,SMALL(IF($M$2:$M$501=1,ROW($M$2:$M$501)-1),ROW()-1)),"")</f>
        <v/>
      </c>
      <c r="S367">
        <f t="array" ref="S367">IFERROR(INDEX($L$2:$L$501,SMALL(IF($M$2:$M$501=0,ROW($M$2:$M$501)-1),ROW()-1)),"")</f>
        <v/>
      </c>
      <c r="U367">
        <f t="array" ref="U367">IFERROR(INDEX($C$2:$C$501,SMALL(IF($D$2:$D$501="France",ROW($D$2:$D$501)-1),ROW()-1)),"")</f>
        <v/>
      </c>
      <c r="V367">
        <f t="array" ref="V367">IFERROR(INDEX($C$2:$C$501,SMALL(IF($D$2:$D$501="Germany",ROW($D$2:$D$501)-1),ROW()-1)),"")</f>
        <v/>
      </c>
      <c r="W367">
        <f t="array" ref="W367">IFERROR(INDEX($C$2:$C$501,SMALL(IF($D$2:$D$501="Spain",ROW($D$2:$D$501)-1),ROW()-1)),"")</f>
        <v/>
      </c>
    </row>
    <row r="368">
      <c r="A368" t="n">
        <v>367</v>
      </c>
      <c r="B368" t="inlineStr">
        <is>
          <t>Miller</t>
        </is>
      </c>
      <c r="C368" t="n">
        <v>557</v>
      </c>
      <c r="D368" t="inlineStr">
        <is>
          <t>France</t>
        </is>
      </c>
      <c r="E368" t="inlineStr">
        <is>
          <t>Female</t>
        </is>
      </c>
      <c r="F368" t="n">
        <v>66</v>
      </c>
      <c r="G368" t="n">
        <v>2</v>
      </c>
      <c r="H368" t="n">
        <v>89466.82000000001</v>
      </c>
      <c r="I368" t="n">
        <v>4</v>
      </c>
      <c r="J368" t="n">
        <v>1</v>
      </c>
      <c r="K368" t="n">
        <v>1</v>
      </c>
      <c r="L368" t="n">
        <v>37239.08</v>
      </c>
      <c r="M368" t="n">
        <v>1</v>
      </c>
      <c r="O368">
        <f>IF($M368=1,$L368,"")</f>
        <v/>
      </c>
      <c r="P368">
        <f>IF($M368=0,$L368,"")</f>
        <v/>
      </c>
      <c r="R368">
        <f t="array" ref="R368">IFERROR(INDEX($L$2:$L$501,SMALL(IF($M$2:$M$501=1,ROW($M$2:$M$501)-1),ROW()-1)),"")</f>
        <v/>
      </c>
      <c r="S368">
        <f t="array" ref="S368">IFERROR(INDEX($L$2:$L$501,SMALL(IF($M$2:$M$501=0,ROW($M$2:$M$501)-1),ROW()-1)),"")</f>
        <v/>
      </c>
      <c r="U368">
        <f t="array" ref="U368">IFERROR(INDEX($C$2:$C$501,SMALL(IF($D$2:$D$501="France",ROW($D$2:$D$501)-1),ROW()-1)),"")</f>
        <v/>
      </c>
      <c r="V368">
        <f t="array" ref="V368">IFERROR(INDEX($C$2:$C$501,SMALL(IF($D$2:$D$501="Germany",ROW($D$2:$D$501)-1),ROW()-1)),"")</f>
        <v/>
      </c>
      <c r="W368">
        <f t="array" ref="W368">IFERROR(INDEX($C$2:$C$501,SMALL(IF($D$2:$D$501="Spain",ROW($D$2:$D$501)-1),ROW()-1)),"")</f>
        <v/>
      </c>
    </row>
    <row r="369">
      <c r="A369" t="n">
        <v>368</v>
      </c>
      <c r="B369" t="inlineStr">
        <is>
          <t>Taylor</t>
        </is>
      </c>
      <c r="C369" t="n">
        <v>680</v>
      </c>
      <c r="D369" t="inlineStr">
        <is>
          <t>Germany</t>
        </is>
      </c>
      <c r="E369" t="inlineStr">
        <is>
          <t>Female</t>
        </is>
      </c>
      <c r="F369" t="n">
        <v>74</v>
      </c>
      <c r="G369" t="n">
        <v>10</v>
      </c>
      <c r="H369" t="n">
        <v>3229.42</v>
      </c>
      <c r="I369" t="n">
        <v>2</v>
      </c>
      <c r="J369" t="n">
        <v>0</v>
      </c>
      <c r="K369" t="n">
        <v>0</v>
      </c>
      <c r="L369" t="n">
        <v>139041.33</v>
      </c>
      <c r="M369" t="n">
        <v>1</v>
      </c>
      <c r="O369">
        <f>IF($M369=1,$L369,"")</f>
        <v/>
      </c>
      <c r="P369">
        <f>IF($M369=0,$L369,"")</f>
        <v/>
      </c>
      <c r="R369">
        <f t="array" ref="R369">IFERROR(INDEX($L$2:$L$501,SMALL(IF($M$2:$M$501=1,ROW($M$2:$M$501)-1),ROW()-1)),"")</f>
        <v/>
      </c>
      <c r="S369">
        <f t="array" ref="S369">IFERROR(INDEX($L$2:$L$501,SMALL(IF($M$2:$M$501=0,ROW($M$2:$M$501)-1),ROW()-1)),"")</f>
        <v/>
      </c>
      <c r="U369">
        <f t="array" ref="U369">IFERROR(INDEX($C$2:$C$501,SMALL(IF($D$2:$D$501="France",ROW($D$2:$D$501)-1),ROW()-1)),"")</f>
        <v/>
      </c>
      <c r="V369">
        <f t="array" ref="V369">IFERROR(INDEX($C$2:$C$501,SMALL(IF($D$2:$D$501="Germany",ROW($D$2:$D$501)-1),ROW()-1)),"")</f>
        <v/>
      </c>
      <c r="W369">
        <f t="array" ref="W369">IFERROR(INDEX($C$2:$C$501,SMALL(IF($D$2:$D$501="Spain",ROW($D$2:$D$501)-1),ROW()-1)),"")</f>
        <v/>
      </c>
    </row>
    <row r="370">
      <c r="A370" t="n">
        <v>369</v>
      </c>
      <c r="B370" t="inlineStr">
        <is>
          <t>Brown</t>
        </is>
      </c>
      <c r="C370" t="n">
        <v>602</v>
      </c>
      <c r="D370" t="inlineStr">
        <is>
          <t>France</t>
        </is>
      </c>
      <c r="E370" t="inlineStr">
        <is>
          <t>Female</t>
        </is>
      </c>
      <c r="F370" t="n">
        <v>76</v>
      </c>
      <c r="G370" t="n">
        <v>8</v>
      </c>
      <c r="H370" t="n">
        <v>181947.19</v>
      </c>
      <c r="I370" t="n">
        <v>3</v>
      </c>
      <c r="J370" t="n">
        <v>0</v>
      </c>
      <c r="K370" t="n">
        <v>1</v>
      </c>
      <c r="L370" t="n">
        <v>81521.02</v>
      </c>
      <c r="M370" t="n">
        <v>0</v>
      </c>
      <c r="O370">
        <f>IF($M370=1,$L370,"")</f>
        <v/>
      </c>
      <c r="P370">
        <f>IF($M370=0,$L370,"")</f>
        <v/>
      </c>
      <c r="R370">
        <f t="array" ref="R370">IFERROR(INDEX($L$2:$L$501,SMALL(IF($M$2:$M$501=1,ROW($M$2:$M$501)-1),ROW()-1)),"")</f>
        <v/>
      </c>
      <c r="S370">
        <f t="array" ref="S370">IFERROR(INDEX($L$2:$L$501,SMALL(IF($M$2:$M$501=0,ROW($M$2:$M$501)-1),ROW()-1)),"")</f>
        <v/>
      </c>
      <c r="U370">
        <f t="array" ref="U370">IFERROR(INDEX($C$2:$C$501,SMALL(IF($D$2:$D$501="France",ROW($D$2:$D$501)-1),ROW()-1)),"")</f>
        <v/>
      </c>
      <c r="V370">
        <f t="array" ref="V370">IFERROR(INDEX($C$2:$C$501,SMALL(IF($D$2:$D$501="Germany",ROW($D$2:$D$501)-1),ROW()-1)),"")</f>
        <v/>
      </c>
      <c r="W370">
        <f t="array" ref="W370">IFERROR(INDEX($C$2:$C$501,SMALL(IF($D$2:$D$501="Spain",ROW($D$2:$D$501)-1),ROW()-1)),"")</f>
        <v/>
      </c>
    </row>
    <row r="371">
      <c r="A371" t="n">
        <v>370</v>
      </c>
      <c r="B371" t="inlineStr">
        <is>
          <t>Johnson</t>
        </is>
      </c>
      <c r="C371" t="n">
        <v>481</v>
      </c>
      <c r="D371" t="inlineStr">
        <is>
          <t>Germany</t>
        </is>
      </c>
      <c r="E371" t="inlineStr">
        <is>
          <t>Female</t>
        </is>
      </c>
      <c r="F371" t="n">
        <v>35</v>
      </c>
      <c r="G371" t="n">
        <v>7</v>
      </c>
      <c r="H371" t="n">
        <v>121359.53</v>
      </c>
      <c r="I371" t="n">
        <v>3</v>
      </c>
      <c r="J371" t="n">
        <v>0</v>
      </c>
      <c r="K371" t="n">
        <v>0</v>
      </c>
      <c r="L371" t="n">
        <v>50215.32</v>
      </c>
      <c r="M371" t="n">
        <v>1</v>
      </c>
      <c r="O371">
        <f>IF($M371=1,$L371,"")</f>
        <v/>
      </c>
      <c r="P371">
        <f>IF($M371=0,$L371,"")</f>
        <v/>
      </c>
      <c r="R371">
        <f t="array" ref="R371">IFERROR(INDEX($L$2:$L$501,SMALL(IF($M$2:$M$501=1,ROW($M$2:$M$501)-1),ROW()-1)),"")</f>
        <v/>
      </c>
      <c r="S371">
        <f t="array" ref="S371">IFERROR(INDEX($L$2:$L$501,SMALL(IF($M$2:$M$501=0,ROW($M$2:$M$501)-1),ROW()-1)),"")</f>
        <v/>
      </c>
      <c r="U371">
        <f t="array" ref="U371">IFERROR(INDEX($C$2:$C$501,SMALL(IF($D$2:$D$501="France",ROW($D$2:$D$501)-1),ROW()-1)),"")</f>
        <v/>
      </c>
      <c r="V371">
        <f t="array" ref="V371">IFERROR(INDEX($C$2:$C$501,SMALL(IF($D$2:$D$501="Germany",ROW($D$2:$D$501)-1),ROW()-1)),"")</f>
        <v/>
      </c>
      <c r="W371">
        <f t="array" ref="W371">IFERROR(INDEX($C$2:$C$501,SMALL(IF($D$2:$D$501="Spain",ROW($D$2:$D$501)-1),ROW()-1)),"")</f>
        <v/>
      </c>
    </row>
    <row r="372">
      <c r="A372" t="n">
        <v>371</v>
      </c>
      <c r="B372" t="inlineStr">
        <is>
          <t>Davis</t>
        </is>
      </c>
      <c r="C372" t="n">
        <v>411</v>
      </c>
      <c r="D372" t="inlineStr">
        <is>
          <t>Germany</t>
        </is>
      </c>
      <c r="E372" t="inlineStr">
        <is>
          <t>Female</t>
        </is>
      </c>
      <c r="F372" t="n">
        <v>25</v>
      </c>
      <c r="G372" t="n">
        <v>6</v>
      </c>
      <c r="H372" t="n">
        <v>221855.45</v>
      </c>
      <c r="I372" t="n">
        <v>3</v>
      </c>
      <c r="J372" t="n">
        <v>0</v>
      </c>
      <c r="K372" t="n">
        <v>1</v>
      </c>
      <c r="L372" t="n">
        <v>27505.16</v>
      </c>
      <c r="M372" t="n">
        <v>0</v>
      </c>
      <c r="O372">
        <f>IF($M372=1,$L372,"")</f>
        <v/>
      </c>
      <c r="P372">
        <f>IF($M372=0,$L372,"")</f>
        <v/>
      </c>
      <c r="R372">
        <f t="array" ref="R372">IFERROR(INDEX($L$2:$L$501,SMALL(IF($M$2:$M$501=1,ROW($M$2:$M$501)-1),ROW()-1)),"")</f>
        <v/>
      </c>
      <c r="S372">
        <f t="array" ref="S372">IFERROR(INDEX($L$2:$L$501,SMALL(IF($M$2:$M$501=0,ROW($M$2:$M$501)-1),ROW()-1)),"")</f>
        <v/>
      </c>
      <c r="U372">
        <f t="array" ref="U372">IFERROR(INDEX($C$2:$C$501,SMALL(IF($D$2:$D$501="France",ROW($D$2:$D$501)-1),ROW()-1)),"")</f>
        <v/>
      </c>
      <c r="V372">
        <f t="array" ref="V372">IFERROR(INDEX($C$2:$C$501,SMALL(IF($D$2:$D$501="Germany",ROW($D$2:$D$501)-1),ROW()-1)),"")</f>
        <v/>
      </c>
      <c r="W372">
        <f t="array" ref="W372">IFERROR(INDEX($C$2:$C$501,SMALL(IF($D$2:$D$501="Spain",ROW($D$2:$D$501)-1),ROW()-1)),"")</f>
        <v/>
      </c>
    </row>
    <row r="373">
      <c r="A373" t="n">
        <v>372</v>
      </c>
      <c r="B373" t="inlineStr">
        <is>
          <t>Taylor</t>
        </is>
      </c>
      <c r="C373" t="n">
        <v>673</v>
      </c>
      <c r="D373" t="inlineStr">
        <is>
          <t>France</t>
        </is>
      </c>
      <c r="E373" t="inlineStr">
        <is>
          <t>Male</t>
        </is>
      </c>
      <c r="F373" t="n">
        <v>44</v>
      </c>
      <c r="G373" t="n">
        <v>0</v>
      </c>
      <c r="H373" t="n">
        <v>42307.27</v>
      </c>
      <c r="I373" t="n">
        <v>4</v>
      </c>
      <c r="J373" t="n">
        <v>1</v>
      </c>
      <c r="K373" t="n">
        <v>0</v>
      </c>
      <c r="L373" t="n">
        <v>91193.31</v>
      </c>
      <c r="M373" t="n">
        <v>1</v>
      </c>
      <c r="O373">
        <f>IF($M373=1,$L373,"")</f>
        <v/>
      </c>
      <c r="P373">
        <f>IF($M373=0,$L373,"")</f>
        <v/>
      </c>
      <c r="R373">
        <f t="array" ref="R373">IFERROR(INDEX($L$2:$L$501,SMALL(IF($M$2:$M$501=1,ROW($M$2:$M$501)-1),ROW()-1)),"")</f>
        <v/>
      </c>
      <c r="S373">
        <f t="array" ref="S373">IFERROR(INDEX($L$2:$L$501,SMALL(IF($M$2:$M$501=0,ROW($M$2:$M$501)-1),ROW()-1)),"")</f>
        <v/>
      </c>
      <c r="U373">
        <f t="array" ref="U373">IFERROR(INDEX($C$2:$C$501,SMALL(IF($D$2:$D$501="France",ROW($D$2:$D$501)-1),ROW()-1)),"")</f>
        <v/>
      </c>
      <c r="V373">
        <f t="array" ref="V373">IFERROR(INDEX($C$2:$C$501,SMALL(IF($D$2:$D$501="Germany",ROW($D$2:$D$501)-1),ROW()-1)),"")</f>
        <v/>
      </c>
      <c r="W373">
        <f t="array" ref="W373">IFERROR(INDEX($C$2:$C$501,SMALL(IF($D$2:$D$501="Spain",ROW($D$2:$D$501)-1),ROW()-1)),"")</f>
        <v/>
      </c>
    </row>
    <row r="374">
      <c r="A374" t="n">
        <v>373</v>
      </c>
      <c r="B374" t="inlineStr">
        <is>
          <t>Wilson</t>
        </is>
      </c>
      <c r="C374" t="n">
        <v>494</v>
      </c>
      <c r="D374" t="inlineStr">
        <is>
          <t>Spain</t>
        </is>
      </c>
      <c r="E374" t="inlineStr">
        <is>
          <t>Female</t>
        </is>
      </c>
      <c r="F374" t="n">
        <v>35</v>
      </c>
      <c r="G374" t="n">
        <v>5</v>
      </c>
      <c r="H374" t="n">
        <v>60811.89</v>
      </c>
      <c r="I374" t="n">
        <v>1</v>
      </c>
      <c r="J374" t="n">
        <v>1</v>
      </c>
      <c r="K374" t="n">
        <v>0</v>
      </c>
      <c r="L374" t="n">
        <v>135514.51</v>
      </c>
      <c r="M374" t="n">
        <v>0</v>
      </c>
      <c r="O374">
        <f>IF($M374=1,$L374,"")</f>
        <v/>
      </c>
      <c r="P374">
        <f>IF($M374=0,$L374,"")</f>
        <v/>
      </c>
      <c r="R374">
        <f t="array" ref="R374">IFERROR(INDEX($L$2:$L$501,SMALL(IF($M$2:$M$501=1,ROW($M$2:$M$501)-1),ROW()-1)),"")</f>
        <v/>
      </c>
      <c r="S374">
        <f t="array" ref="S374">IFERROR(INDEX($L$2:$L$501,SMALL(IF($M$2:$M$501=0,ROW($M$2:$M$501)-1),ROW()-1)),"")</f>
        <v/>
      </c>
      <c r="U374">
        <f t="array" ref="U374">IFERROR(INDEX($C$2:$C$501,SMALL(IF($D$2:$D$501="France",ROW($D$2:$D$501)-1),ROW()-1)),"")</f>
        <v/>
      </c>
      <c r="V374">
        <f t="array" ref="V374">IFERROR(INDEX($C$2:$C$501,SMALL(IF($D$2:$D$501="Germany",ROW($D$2:$D$501)-1),ROW()-1)),"")</f>
        <v/>
      </c>
      <c r="W374">
        <f t="array" ref="W374">IFERROR(INDEX($C$2:$C$501,SMALL(IF($D$2:$D$501="Spain",ROW($D$2:$D$501)-1),ROW()-1)),"")</f>
        <v/>
      </c>
    </row>
    <row r="375">
      <c r="A375" t="n">
        <v>374</v>
      </c>
      <c r="B375" t="inlineStr">
        <is>
          <t>Johnson</t>
        </is>
      </c>
      <c r="C375" t="n">
        <v>718</v>
      </c>
      <c r="D375" t="inlineStr">
        <is>
          <t>Spain</t>
        </is>
      </c>
      <c r="E375" t="inlineStr">
        <is>
          <t>Female</t>
        </is>
      </c>
      <c r="F375" t="n">
        <v>86</v>
      </c>
      <c r="G375" t="n">
        <v>2</v>
      </c>
      <c r="H375" t="n">
        <v>117910.43</v>
      </c>
      <c r="I375" t="n">
        <v>4</v>
      </c>
      <c r="J375" t="n">
        <v>1</v>
      </c>
      <c r="K375" t="n">
        <v>0</v>
      </c>
      <c r="L375" t="n">
        <v>96850.83</v>
      </c>
      <c r="M375" t="n">
        <v>0</v>
      </c>
      <c r="O375">
        <f>IF($M375=1,$L375,"")</f>
        <v/>
      </c>
      <c r="P375">
        <f>IF($M375=0,$L375,"")</f>
        <v/>
      </c>
      <c r="R375">
        <f t="array" ref="R375">IFERROR(INDEX($L$2:$L$501,SMALL(IF($M$2:$M$501=1,ROW($M$2:$M$501)-1),ROW()-1)),"")</f>
        <v/>
      </c>
      <c r="S375">
        <f t="array" ref="S375">IFERROR(INDEX($L$2:$L$501,SMALL(IF($M$2:$M$501=0,ROW($M$2:$M$501)-1),ROW()-1)),"")</f>
        <v/>
      </c>
      <c r="U375">
        <f t="array" ref="U375">IFERROR(INDEX($C$2:$C$501,SMALL(IF($D$2:$D$501="France",ROW($D$2:$D$501)-1),ROW()-1)),"")</f>
        <v/>
      </c>
      <c r="V375">
        <f t="array" ref="V375">IFERROR(INDEX($C$2:$C$501,SMALL(IF($D$2:$D$501="Germany",ROW($D$2:$D$501)-1),ROW()-1)),"")</f>
        <v/>
      </c>
      <c r="W375">
        <f t="array" ref="W375">IFERROR(INDEX($C$2:$C$501,SMALL(IF($D$2:$D$501="Spain",ROW($D$2:$D$501)-1),ROW()-1)),"")</f>
        <v/>
      </c>
    </row>
    <row r="376">
      <c r="A376" t="n">
        <v>375</v>
      </c>
      <c r="B376" t="inlineStr">
        <is>
          <t>Jones</t>
        </is>
      </c>
      <c r="C376" t="n">
        <v>807</v>
      </c>
      <c r="D376" t="inlineStr">
        <is>
          <t>Spain</t>
        </is>
      </c>
      <c r="E376" t="inlineStr">
        <is>
          <t>Male</t>
        </is>
      </c>
      <c r="F376" t="n">
        <v>61</v>
      </c>
      <c r="G376" t="n">
        <v>10</v>
      </c>
      <c r="H376" t="n">
        <v>33943.95</v>
      </c>
      <c r="I376" t="n">
        <v>2</v>
      </c>
      <c r="J376" t="n">
        <v>1</v>
      </c>
      <c r="K376" t="n">
        <v>1</v>
      </c>
      <c r="L376" t="n">
        <v>70802.91</v>
      </c>
      <c r="M376" t="n">
        <v>0</v>
      </c>
      <c r="O376">
        <f>IF($M376=1,$L376,"")</f>
        <v/>
      </c>
      <c r="P376">
        <f>IF($M376=0,$L376,"")</f>
        <v/>
      </c>
      <c r="R376">
        <f t="array" ref="R376">IFERROR(INDEX($L$2:$L$501,SMALL(IF($M$2:$M$501=1,ROW($M$2:$M$501)-1),ROW()-1)),"")</f>
        <v/>
      </c>
      <c r="S376">
        <f t="array" ref="S376">IFERROR(INDEX($L$2:$L$501,SMALL(IF($M$2:$M$501=0,ROW($M$2:$M$501)-1),ROW()-1)),"")</f>
        <v/>
      </c>
      <c r="U376">
        <f t="array" ref="U376">IFERROR(INDEX($C$2:$C$501,SMALL(IF($D$2:$D$501="France",ROW($D$2:$D$501)-1),ROW()-1)),"")</f>
        <v/>
      </c>
      <c r="V376">
        <f t="array" ref="V376">IFERROR(INDEX($C$2:$C$501,SMALL(IF($D$2:$D$501="Germany",ROW($D$2:$D$501)-1),ROW()-1)),"")</f>
        <v/>
      </c>
      <c r="W376">
        <f t="array" ref="W376">IFERROR(INDEX($C$2:$C$501,SMALL(IF($D$2:$D$501="Spain",ROW($D$2:$D$501)-1),ROW()-1)),"")</f>
        <v/>
      </c>
    </row>
    <row r="377">
      <c r="A377" t="n">
        <v>376</v>
      </c>
      <c r="B377" t="inlineStr">
        <is>
          <t>Davis</t>
        </is>
      </c>
      <c r="C377" t="n">
        <v>434</v>
      </c>
      <c r="D377" t="inlineStr">
        <is>
          <t>France</t>
        </is>
      </c>
      <c r="E377" t="inlineStr">
        <is>
          <t>Male</t>
        </is>
      </c>
      <c r="F377" t="n">
        <v>65</v>
      </c>
      <c r="G377" t="n">
        <v>6</v>
      </c>
      <c r="H377" t="n">
        <v>90083.5</v>
      </c>
      <c r="I377" t="n">
        <v>1</v>
      </c>
      <c r="J377" t="n">
        <v>0</v>
      </c>
      <c r="K377" t="n">
        <v>1</v>
      </c>
      <c r="L377" t="n">
        <v>97501.27</v>
      </c>
      <c r="M377" t="n">
        <v>0</v>
      </c>
      <c r="O377">
        <f>IF($M377=1,$L377,"")</f>
        <v/>
      </c>
      <c r="P377">
        <f>IF($M377=0,$L377,"")</f>
        <v/>
      </c>
      <c r="R377">
        <f t="array" ref="R377">IFERROR(INDEX($L$2:$L$501,SMALL(IF($M$2:$M$501=1,ROW($M$2:$M$501)-1),ROW()-1)),"")</f>
        <v/>
      </c>
      <c r="S377">
        <f t="array" ref="S377">IFERROR(INDEX($L$2:$L$501,SMALL(IF($M$2:$M$501=0,ROW($M$2:$M$501)-1),ROW()-1)),"")</f>
        <v/>
      </c>
      <c r="U377">
        <f t="array" ref="U377">IFERROR(INDEX($C$2:$C$501,SMALL(IF($D$2:$D$501="France",ROW($D$2:$D$501)-1),ROW()-1)),"")</f>
        <v/>
      </c>
      <c r="V377">
        <f t="array" ref="V377">IFERROR(INDEX($C$2:$C$501,SMALL(IF($D$2:$D$501="Germany",ROW($D$2:$D$501)-1),ROW()-1)),"")</f>
        <v/>
      </c>
      <c r="W377">
        <f t="array" ref="W377">IFERROR(INDEX($C$2:$C$501,SMALL(IF($D$2:$D$501="Spain",ROW($D$2:$D$501)-1),ROW()-1)),"")</f>
        <v/>
      </c>
    </row>
    <row r="378">
      <c r="A378" t="n">
        <v>377</v>
      </c>
      <c r="B378" t="inlineStr">
        <is>
          <t>Wilson</t>
        </is>
      </c>
      <c r="C378" t="n">
        <v>466</v>
      </c>
      <c r="D378" t="inlineStr">
        <is>
          <t>Spain</t>
        </is>
      </c>
      <c r="E378" t="inlineStr">
        <is>
          <t>Female</t>
        </is>
      </c>
      <c r="F378" t="n">
        <v>90</v>
      </c>
      <c r="G378" t="n">
        <v>8</v>
      </c>
      <c r="H378" t="n">
        <v>3890.93</v>
      </c>
      <c r="I378" t="n">
        <v>2</v>
      </c>
      <c r="J378" t="n">
        <v>0</v>
      </c>
      <c r="K378" t="n">
        <v>1</v>
      </c>
      <c r="L378" t="n">
        <v>112863.73</v>
      </c>
      <c r="M378" t="n">
        <v>1</v>
      </c>
      <c r="O378">
        <f>IF($M378=1,$L378,"")</f>
        <v/>
      </c>
      <c r="P378">
        <f>IF($M378=0,$L378,"")</f>
        <v/>
      </c>
      <c r="R378">
        <f t="array" ref="R378">IFERROR(INDEX($L$2:$L$501,SMALL(IF($M$2:$M$501=1,ROW($M$2:$M$501)-1),ROW()-1)),"")</f>
        <v/>
      </c>
      <c r="S378">
        <f t="array" ref="S378">IFERROR(INDEX($L$2:$L$501,SMALL(IF($M$2:$M$501=0,ROW($M$2:$M$501)-1),ROW()-1)),"")</f>
        <v/>
      </c>
      <c r="U378">
        <f t="array" ref="U378">IFERROR(INDEX($C$2:$C$501,SMALL(IF($D$2:$D$501="France",ROW($D$2:$D$501)-1),ROW()-1)),"")</f>
        <v/>
      </c>
      <c r="V378">
        <f t="array" ref="V378">IFERROR(INDEX($C$2:$C$501,SMALL(IF($D$2:$D$501="Germany",ROW($D$2:$D$501)-1),ROW()-1)),"")</f>
        <v/>
      </c>
      <c r="W378">
        <f t="array" ref="W378">IFERROR(INDEX($C$2:$C$501,SMALL(IF($D$2:$D$501="Spain",ROW($D$2:$D$501)-1),ROW()-1)),"")</f>
        <v/>
      </c>
    </row>
    <row r="379">
      <c r="A379" t="n">
        <v>378</v>
      </c>
      <c r="B379" t="inlineStr">
        <is>
          <t>Jones</t>
        </is>
      </c>
      <c r="C379" t="n">
        <v>579</v>
      </c>
      <c r="D379" t="inlineStr">
        <is>
          <t>Germany</t>
        </is>
      </c>
      <c r="E379" t="inlineStr">
        <is>
          <t>Female</t>
        </is>
      </c>
      <c r="F379" t="n">
        <v>76</v>
      </c>
      <c r="G379" t="n">
        <v>4</v>
      </c>
      <c r="H379" t="n">
        <v>200445.11</v>
      </c>
      <c r="I379" t="n">
        <v>1</v>
      </c>
      <c r="J379" t="n">
        <v>1</v>
      </c>
      <c r="K379" t="n">
        <v>1</v>
      </c>
      <c r="L379" t="n">
        <v>43482.28</v>
      </c>
      <c r="M379" t="n">
        <v>0</v>
      </c>
      <c r="O379">
        <f>IF($M379=1,$L379,"")</f>
        <v/>
      </c>
      <c r="P379">
        <f>IF($M379=0,$L379,"")</f>
        <v/>
      </c>
      <c r="R379">
        <f t="array" ref="R379">IFERROR(INDEX($L$2:$L$501,SMALL(IF($M$2:$M$501=1,ROW($M$2:$M$501)-1),ROW()-1)),"")</f>
        <v/>
      </c>
      <c r="S379">
        <f t="array" ref="S379">IFERROR(INDEX($L$2:$L$501,SMALL(IF($M$2:$M$501=0,ROW($M$2:$M$501)-1),ROW()-1)),"")</f>
        <v/>
      </c>
      <c r="U379">
        <f t="array" ref="U379">IFERROR(INDEX($C$2:$C$501,SMALL(IF($D$2:$D$501="France",ROW($D$2:$D$501)-1),ROW()-1)),"")</f>
        <v/>
      </c>
      <c r="V379">
        <f t="array" ref="V379">IFERROR(INDEX($C$2:$C$501,SMALL(IF($D$2:$D$501="Germany",ROW($D$2:$D$501)-1),ROW()-1)),"")</f>
        <v/>
      </c>
      <c r="W379">
        <f t="array" ref="W379">IFERROR(INDEX($C$2:$C$501,SMALL(IF($D$2:$D$501="Spain",ROW($D$2:$D$501)-1),ROW()-1)),"")</f>
        <v/>
      </c>
    </row>
    <row r="380">
      <c r="A380" t="n">
        <v>379</v>
      </c>
      <c r="B380" t="inlineStr">
        <is>
          <t>Miller</t>
        </is>
      </c>
      <c r="C380" t="n">
        <v>605</v>
      </c>
      <c r="D380" t="inlineStr">
        <is>
          <t>Spain</t>
        </is>
      </c>
      <c r="E380" t="inlineStr">
        <is>
          <t>Female</t>
        </is>
      </c>
      <c r="F380" t="n">
        <v>45</v>
      </c>
      <c r="G380" t="n">
        <v>0</v>
      </c>
      <c r="H380" t="n">
        <v>25176.02</v>
      </c>
      <c r="I380" t="n">
        <v>1</v>
      </c>
      <c r="J380" t="n">
        <v>0</v>
      </c>
      <c r="K380" t="n">
        <v>1</v>
      </c>
      <c r="L380" t="n">
        <v>47799.89</v>
      </c>
      <c r="M380" t="n">
        <v>0</v>
      </c>
      <c r="O380">
        <f>IF($M380=1,$L380,"")</f>
        <v/>
      </c>
      <c r="P380">
        <f>IF($M380=0,$L380,"")</f>
        <v/>
      </c>
      <c r="R380">
        <f t="array" ref="R380">IFERROR(INDEX($L$2:$L$501,SMALL(IF($M$2:$M$501=1,ROW($M$2:$M$501)-1),ROW()-1)),"")</f>
        <v/>
      </c>
      <c r="S380">
        <f t="array" ref="S380">IFERROR(INDEX($L$2:$L$501,SMALL(IF($M$2:$M$501=0,ROW($M$2:$M$501)-1),ROW()-1)),"")</f>
        <v/>
      </c>
      <c r="U380">
        <f t="array" ref="U380">IFERROR(INDEX($C$2:$C$501,SMALL(IF($D$2:$D$501="France",ROW($D$2:$D$501)-1),ROW()-1)),"")</f>
        <v/>
      </c>
      <c r="V380">
        <f t="array" ref="V380">IFERROR(INDEX($C$2:$C$501,SMALL(IF($D$2:$D$501="Germany",ROW($D$2:$D$501)-1),ROW()-1)),"")</f>
        <v/>
      </c>
      <c r="W380">
        <f t="array" ref="W380">IFERROR(INDEX($C$2:$C$501,SMALL(IF($D$2:$D$501="Spain",ROW($D$2:$D$501)-1),ROW()-1)),"")</f>
        <v/>
      </c>
    </row>
    <row r="381">
      <c r="A381" t="n">
        <v>380</v>
      </c>
      <c r="B381" t="inlineStr">
        <is>
          <t>Miller</t>
        </is>
      </c>
      <c r="C381" t="n">
        <v>662</v>
      </c>
      <c r="D381" t="inlineStr">
        <is>
          <t>Germany</t>
        </is>
      </c>
      <c r="E381" t="inlineStr">
        <is>
          <t>Male</t>
        </is>
      </c>
      <c r="F381" t="n">
        <v>24</v>
      </c>
      <c r="G381" t="n">
        <v>3</v>
      </c>
      <c r="H381" t="n">
        <v>148964.49</v>
      </c>
      <c r="I381" t="n">
        <v>1</v>
      </c>
      <c r="J381" t="n">
        <v>1</v>
      </c>
      <c r="K381" t="n">
        <v>0</v>
      </c>
      <c r="L381" t="n">
        <v>134929.35</v>
      </c>
      <c r="M381" t="n">
        <v>1</v>
      </c>
      <c r="O381">
        <f>IF($M381=1,$L381,"")</f>
        <v/>
      </c>
      <c r="P381">
        <f>IF($M381=0,$L381,"")</f>
        <v/>
      </c>
      <c r="R381">
        <f t="array" ref="R381">IFERROR(INDEX($L$2:$L$501,SMALL(IF($M$2:$M$501=1,ROW($M$2:$M$501)-1),ROW()-1)),"")</f>
        <v/>
      </c>
      <c r="S381">
        <f t="array" ref="S381">IFERROR(INDEX($L$2:$L$501,SMALL(IF($M$2:$M$501=0,ROW($M$2:$M$501)-1),ROW()-1)),"")</f>
        <v/>
      </c>
      <c r="U381">
        <f t="array" ref="U381">IFERROR(INDEX($C$2:$C$501,SMALL(IF($D$2:$D$501="France",ROW($D$2:$D$501)-1),ROW()-1)),"")</f>
        <v/>
      </c>
      <c r="V381">
        <f t="array" ref="V381">IFERROR(INDEX($C$2:$C$501,SMALL(IF($D$2:$D$501="Germany",ROW($D$2:$D$501)-1),ROW()-1)),"")</f>
        <v/>
      </c>
      <c r="W381">
        <f t="array" ref="W381">IFERROR(INDEX($C$2:$C$501,SMALL(IF($D$2:$D$501="Spain",ROW($D$2:$D$501)-1),ROW()-1)),"")</f>
        <v/>
      </c>
    </row>
    <row r="382">
      <c r="A382" t="n">
        <v>381</v>
      </c>
      <c r="B382" t="inlineStr">
        <is>
          <t>Wilson</t>
        </is>
      </c>
      <c r="C382" t="n">
        <v>668</v>
      </c>
      <c r="D382" t="inlineStr">
        <is>
          <t>Spain</t>
        </is>
      </c>
      <c r="E382" t="inlineStr">
        <is>
          <t>Female</t>
        </is>
      </c>
      <c r="F382" t="n">
        <v>25</v>
      </c>
      <c r="G382" t="n">
        <v>10</v>
      </c>
      <c r="H382" t="n">
        <v>65557.83</v>
      </c>
      <c r="I382" t="n">
        <v>1</v>
      </c>
      <c r="J382" t="n">
        <v>1</v>
      </c>
      <c r="K382" t="n">
        <v>1</v>
      </c>
      <c r="L382" t="n">
        <v>119298.33</v>
      </c>
      <c r="M382" t="n">
        <v>1</v>
      </c>
      <c r="O382">
        <f>IF($M382=1,$L382,"")</f>
        <v/>
      </c>
      <c r="P382">
        <f>IF($M382=0,$L382,"")</f>
        <v/>
      </c>
      <c r="R382">
        <f t="array" ref="R382">IFERROR(INDEX($L$2:$L$501,SMALL(IF($M$2:$M$501=1,ROW($M$2:$M$501)-1),ROW()-1)),"")</f>
        <v/>
      </c>
      <c r="S382">
        <f t="array" ref="S382">IFERROR(INDEX($L$2:$L$501,SMALL(IF($M$2:$M$501=0,ROW($M$2:$M$501)-1),ROW()-1)),"")</f>
        <v/>
      </c>
      <c r="U382">
        <f t="array" ref="U382">IFERROR(INDEX($C$2:$C$501,SMALL(IF($D$2:$D$501="France",ROW($D$2:$D$501)-1),ROW()-1)),"")</f>
        <v/>
      </c>
      <c r="V382">
        <f t="array" ref="V382">IFERROR(INDEX($C$2:$C$501,SMALL(IF($D$2:$D$501="Germany",ROW($D$2:$D$501)-1),ROW()-1)),"")</f>
        <v/>
      </c>
      <c r="W382">
        <f t="array" ref="W382">IFERROR(INDEX($C$2:$C$501,SMALL(IF($D$2:$D$501="Spain",ROW($D$2:$D$501)-1),ROW()-1)),"")</f>
        <v/>
      </c>
    </row>
    <row r="383">
      <c r="A383" t="n">
        <v>382</v>
      </c>
      <c r="B383" t="inlineStr">
        <is>
          <t>Taylor</t>
        </is>
      </c>
      <c r="C383" t="n">
        <v>790</v>
      </c>
      <c r="D383" t="inlineStr">
        <is>
          <t>Spain</t>
        </is>
      </c>
      <c r="E383" t="inlineStr">
        <is>
          <t>Male</t>
        </is>
      </c>
      <c r="F383" t="n">
        <v>71</v>
      </c>
      <c r="G383" t="n">
        <v>4</v>
      </c>
      <c r="H383" t="n">
        <v>7503.74</v>
      </c>
      <c r="I383" t="n">
        <v>3</v>
      </c>
      <c r="J383" t="n">
        <v>1</v>
      </c>
      <c r="K383" t="n">
        <v>1</v>
      </c>
      <c r="L383" t="n">
        <v>111705.43</v>
      </c>
      <c r="M383" t="n">
        <v>1</v>
      </c>
      <c r="O383">
        <f>IF($M383=1,$L383,"")</f>
        <v/>
      </c>
      <c r="P383">
        <f>IF($M383=0,$L383,"")</f>
        <v/>
      </c>
      <c r="R383">
        <f t="array" ref="R383">IFERROR(INDEX($L$2:$L$501,SMALL(IF($M$2:$M$501=1,ROW($M$2:$M$501)-1),ROW()-1)),"")</f>
        <v/>
      </c>
      <c r="S383">
        <f t="array" ref="S383">IFERROR(INDEX($L$2:$L$501,SMALL(IF($M$2:$M$501=0,ROW($M$2:$M$501)-1),ROW()-1)),"")</f>
        <v/>
      </c>
      <c r="U383">
        <f t="array" ref="U383">IFERROR(INDEX($C$2:$C$501,SMALL(IF($D$2:$D$501="France",ROW($D$2:$D$501)-1),ROW()-1)),"")</f>
        <v/>
      </c>
      <c r="V383">
        <f t="array" ref="V383">IFERROR(INDEX($C$2:$C$501,SMALL(IF($D$2:$D$501="Germany",ROW($D$2:$D$501)-1),ROW()-1)),"")</f>
        <v/>
      </c>
      <c r="W383">
        <f t="array" ref="W383">IFERROR(INDEX($C$2:$C$501,SMALL(IF($D$2:$D$501="Spain",ROW($D$2:$D$501)-1),ROW()-1)),"")</f>
        <v/>
      </c>
    </row>
    <row r="384">
      <c r="A384" t="n">
        <v>383</v>
      </c>
      <c r="B384" t="inlineStr">
        <is>
          <t>Johnson</t>
        </is>
      </c>
      <c r="C384" t="n">
        <v>398</v>
      </c>
      <c r="D384" t="inlineStr">
        <is>
          <t>France</t>
        </is>
      </c>
      <c r="E384" t="inlineStr">
        <is>
          <t>Female</t>
        </is>
      </c>
      <c r="F384" t="n">
        <v>44</v>
      </c>
      <c r="G384" t="n">
        <v>1</v>
      </c>
      <c r="H384" t="n">
        <v>27423.79</v>
      </c>
      <c r="I384" t="n">
        <v>1</v>
      </c>
      <c r="J384" t="n">
        <v>1</v>
      </c>
      <c r="K384" t="n">
        <v>1</v>
      </c>
      <c r="L384" t="n">
        <v>103883.72</v>
      </c>
      <c r="M384" t="n">
        <v>1</v>
      </c>
      <c r="O384">
        <f>IF($M384=1,$L384,"")</f>
        <v/>
      </c>
      <c r="P384">
        <f>IF($M384=0,$L384,"")</f>
        <v/>
      </c>
      <c r="R384">
        <f t="array" ref="R384">IFERROR(INDEX($L$2:$L$501,SMALL(IF($M$2:$M$501=1,ROW($M$2:$M$501)-1),ROW()-1)),"")</f>
        <v/>
      </c>
      <c r="S384">
        <f t="array" ref="S384">IFERROR(INDEX($L$2:$L$501,SMALL(IF($M$2:$M$501=0,ROW($M$2:$M$501)-1),ROW()-1)),"")</f>
        <v/>
      </c>
      <c r="U384">
        <f t="array" ref="U384">IFERROR(INDEX($C$2:$C$501,SMALL(IF($D$2:$D$501="France",ROW($D$2:$D$501)-1),ROW()-1)),"")</f>
        <v/>
      </c>
      <c r="V384">
        <f t="array" ref="V384">IFERROR(INDEX($C$2:$C$501,SMALL(IF($D$2:$D$501="Germany",ROW($D$2:$D$501)-1),ROW()-1)),"")</f>
        <v/>
      </c>
      <c r="W384">
        <f t="array" ref="W384">IFERROR(INDEX($C$2:$C$501,SMALL(IF($D$2:$D$501="Spain",ROW($D$2:$D$501)-1),ROW()-1)),"")</f>
        <v/>
      </c>
    </row>
    <row r="385">
      <c r="A385" t="n">
        <v>384</v>
      </c>
      <c r="B385" t="inlineStr">
        <is>
          <t>Taylor</t>
        </is>
      </c>
      <c r="C385" t="n">
        <v>495</v>
      </c>
      <c r="D385" t="inlineStr">
        <is>
          <t>Germany</t>
        </is>
      </c>
      <c r="E385" t="inlineStr">
        <is>
          <t>Male</t>
        </is>
      </c>
      <c r="F385" t="n">
        <v>55</v>
      </c>
      <c r="G385" t="n">
        <v>8</v>
      </c>
      <c r="H385" t="n">
        <v>174803.79</v>
      </c>
      <c r="I385" t="n">
        <v>1</v>
      </c>
      <c r="J385" t="n">
        <v>1</v>
      </c>
      <c r="K385" t="n">
        <v>1</v>
      </c>
      <c r="L385" t="n">
        <v>82707.83</v>
      </c>
      <c r="M385" t="n">
        <v>1</v>
      </c>
      <c r="O385">
        <f>IF($M385=1,$L385,"")</f>
        <v/>
      </c>
      <c r="P385">
        <f>IF($M385=0,$L385,"")</f>
        <v/>
      </c>
      <c r="R385">
        <f t="array" ref="R385">IFERROR(INDEX($L$2:$L$501,SMALL(IF($M$2:$M$501=1,ROW($M$2:$M$501)-1),ROW()-1)),"")</f>
        <v/>
      </c>
      <c r="S385">
        <f t="array" ref="S385">IFERROR(INDEX($L$2:$L$501,SMALL(IF($M$2:$M$501=0,ROW($M$2:$M$501)-1),ROW()-1)),"")</f>
        <v/>
      </c>
      <c r="U385">
        <f t="array" ref="U385">IFERROR(INDEX($C$2:$C$501,SMALL(IF($D$2:$D$501="France",ROW($D$2:$D$501)-1),ROW()-1)),"")</f>
        <v/>
      </c>
      <c r="V385">
        <f t="array" ref="V385">IFERROR(INDEX($C$2:$C$501,SMALL(IF($D$2:$D$501="Germany",ROW($D$2:$D$501)-1),ROW()-1)),"")</f>
        <v/>
      </c>
      <c r="W385">
        <f t="array" ref="W385">IFERROR(INDEX($C$2:$C$501,SMALL(IF($D$2:$D$501="Spain",ROW($D$2:$D$501)-1),ROW()-1)),"")</f>
        <v/>
      </c>
    </row>
    <row r="386">
      <c r="A386" t="n">
        <v>385</v>
      </c>
      <c r="B386" t="inlineStr">
        <is>
          <t>Miller</t>
        </is>
      </c>
      <c r="C386" t="n">
        <v>723</v>
      </c>
      <c r="D386" t="inlineStr">
        <is>
          <t>Germany</t>
        </is>
      </c>
      <c r="E386" t="inlineStr">
        <is>
          <t>Male</t>
        </is>
      </c>
      <c r="F386" t="n">
        <v>67</v>
      </c>
      <c r="G386" t="n">
        <v>2</v>
      </c>
      <c r="H386" t="n">
        <v>222765.58</v>
      </c>
      <c r="I386" t="n">
        <v>2</v>
      </c>
      <c r="J386" t="n">
        <v>1</v>
      </c>
      <c r="K386" t="n">
        <v>1</v>
      </c>
      <c r="L386" t="n">
        <v>60737.81</v>
      </c>
      <c r="M386" t="n">
        <v>0</v>
      </c>
      <c r="O386">
        <f>IF($M386=1,$L386,"")</f>
        <v/>
      </c>
      <c r="P386">
        <f>IF($M386=0,$L386,"")</f>
        <v/>
      </c>
      <c r="R386">
        <f t="array" ref="R386">IFERROR(INDEX($L$2:$L$501,SMALL(IF($M$2:$M$501=1,ROW($M$2:$M$501)-1),ROW()-1)),"")</f>
        <v/>
      </c>
      <c r="S386">
        <f t="array" ref="S386">IFERROR(INDEX($L$2:$L$501,SMALL(IF($M$2:$M$501=0,ROW($M$2:$M$501)-1),ROW()-1)),"")</f>
        <v/>
      </c>
      <c r="U386">
        <f t="array" ref="U386">IFERROR(INDEX($C$2:$C$501,SMALL(IF($D$2:$D$501="France",ROW($D$2:$D$501)-1),ROW()-1)),"")</f>
        <v/>
      </c>
      <c r="V386">
        <f t="array" ref="V386">IFERROR(INDEX($C$2:$C$501,SMALL(IF($D$2:$D$501="Germany",ROW($D$2:$D$501)-1),ROW()-1)),"")</f>
        <v/>
      </c>
      <c r="W386">
        <f t="array" ref="W386">IFERROR(INDEX($C$2:$C$501,SMALL(IF($D$2:$D$501="Spain",ROW($D$2:$D$501)-1),ROW()-1)),"")</f>
        <v/>
      </c>
    </row>
    <row r="387">
      <c r="A387" t="n">
        <v>386</v>
      </c>
      <c r="B387" t="inlineStr">
        <is>
          <t>Smith</t>
        </is>
      </c>
      <c r="C387" t="n">
        <v>791</v>
      </c>
      <c r="D387" t="inlineStr">
        <is>
          <t>Germany</t>
        </is>
      </c>
      <c r="E387" t="inlineStr">
        <is>
          <t>Male</t>
        </is>
      </c>
      <c r="F387" t="n">
        <v>38</v>
      </c>
      <c r="G387" t="n">
        <v>8</v>
      </c>
      <c r="H387" t="n">
        <v>13669.44</v>
      </c>
      <c r="I387" t="n">
        <v>2</v>
      </c>
      <c r="J387" t="n">
        <v>1</v>
      </c>
      <c r="K387" t="n">
        <v>1</v>
      </c>
      <c r="L387" t="n">
        <v>64850.98</v>
      </c>
      <c r="M387" t="n">
        <v>0</v>
      </c>
      <c r="O387">
        <f>IF($M387=1,$L387,"")</f>
        <v/>
      </c>
      <c r="P387">
        <f>IF($M387=0,$L387,"")</f>
        <v/>
      </c>
      <c r="R387">
        <f t="array" ref="R387">IFERROR(INDEX($L$2:$L$501,SMALL(IF($M$2:$M$501=1,ROW($M$2:$M$501)-1),ROW()-1)),"")</f>
        <v/>
      </c>
      <c r="S387">
        <f t="array" ref="S387">IFERROR(INDEX($L$2:$L$501,SMALL(IF($M$2:$M$501=0,ROW($M$2:$M$501)-1),ROW()-1)),"")</f>
        <v/>
      </c>
      <c r="U387">
        <f t="array" ref="U387">IFERROR(INDEX($C$2:$C$501,SMALL(IF($D$2:$D$501="France",ROW($D$2:$D$501)-1),ROW()-1)),"")</f>
        <v/>
      </c>
      <c r="V387">
        <f t="array" ref="V387">IFERROR(INDEX($C$2:$C$501,SMALL(IF($D$2:$D$501="Germany",ROW($D$2:$D$501)-1),ROW()-1)),"")</f>
        <v/>
      </c>
      <c r="W387">
        <f t="array" ref="W387">IFERROR(INDEX($C$2:$C$501,SMALL(IF($D$2:$D$501="Spain",ROW($D$2:$D$501)-1),ROW()-1)),"")</f>
        <v/>
      </c>
    </row>
    <row r="388">
      <c r="A388" t="n">
        <v>387</v>
      </c>
      <c r="B388" t="inlineStr">
        <is>
          <t>Jones</t>
        </is>
      </c>
      <c r="C388" t="n">
        <v>359</v>
      </c>
      <c r="D388" t="inlineStr">
        <is>
          <t>Spain</t>
        </is>
      </c>
      <c r="E388" t="inlineStr">
        <is>
          <t>Female</t>
        </is>
      </c>
      <c r="F388" t="n">
        <v>74</v>
      </c>
      <c r="G388" t="n">
        <v>9</v>
      </c>
      <c r="H388" t="n">
        <v>70359.16</v>
      </c>
      <c r="I388" t="n">
        <v>3</v>
      </c>
      <c r="J388" t="n">
        <v>0</v>
      </c>
      <c r="K388" t="n">
        <v>1</v>
      </c>
      <c r="L388" t="n">
        <v>21108.79</v>
      </c>
      <c r="M388" t="n">
        <v>0</v>
      </c>
      <c r="O388">
        <f>IF($M388=1,$L388,"")</f>
        <v/>
      </c>
      <c r="P388">
        <f>IF($M388=0,$L388,"")</f>
        <v/>
      </c>
      <c r="R388">
        <f t="array" ref="R388">IFERROR(INDEX($L$2:$L$501,SMALL(IF($M$2:$M$501=1,ROW($M$2:$M$501)-1),ROW()-1)),"")</f>
        <v/>
      </c>
      <c r="S388">
        <f t="array" ref="S388">IFERROR(INDEX($L$2:$L$501,SMALL(IF($M$2:$M$501=0,ROW($M$2:$M$501)-1),ROW()-1)),"")</f>
        <v/>
      </c>
      <c r="U388">
        <f t="array" ref="U388">IFERROR(INDEX($C$2:$C$501,SMALL(IF($D$2:$D$501="France",ROW($D$2:$D$501)-1),ROW()-1)),"")</f>
        <v/>
      </c>
      <c r="V388">
        <f t="array" ref="V388">IFERROR(INDEX($C$2:$C$501,SMALL(IF($D$2:$D$501="Germany",ROW($D$2:$D$501)-1),ROW()-1)),"")</f>
        <v/>
      </c>
      <c r="W388">
        <f t="array" ref="W388">IFERROR(INDEX($C$2:$C$501,SMALL(IF($D$2:$D$501="Spain",ROW($D$2:$D$501)-1),ROW()-1)),"")</f>
        <v/>
      </c>
    </row>
    <row r="389">
      <c r="A389" t="n">
        <v>388</v>
      </c>
      <c r="B389" t="inlineStr">
        <is>
          <t>Moore</t>
        </is>
      </c>
      <c r="C389" t="n">
        <v>842</v>
      </c>
      <c r="D389" t="inlineStr">
        <is>
          <t>Spain</t>
        </is>
      </c>
      <c r="E389" t="inlineStr">
        <is>
          <t>Female</t>
        </is>
      </c>
      <c r="F389" t="n">
        <v>79</v>
      </c>
      <c r="G389" t="n">
        <v>8</v>
      </c>
      <c r="H389" t="n">
        <v>99607.92999999999</v>
      </c>
      <c r="I389" t="n">
        <v>1</v>
      </c>
      <c r="J389" t="n">
        <v>1</v>
      </c>
      <c r="K389" t="n">
        <v>1</v>
      </c>
      <c r="L389" t="n">
        <v>134066.89</v>
      </c>
      <c r="M389" t="n">
        <v>0</v>
      </c>
      <c r="O389">
        <f>IF($M389=1,$L389,"")</f>
        <v/>
      </c>
      <c r="P389">
        <f>IF($M389=0,$L389,"")</f>
        <v/>
      </c>
      <c r="R389">
        <f t="array" ref="R389">IFERROR(INDEX($L$2:$L$501,SMALL(IF($M$2:$M$501=1,ROW($M$2:$M$501)-1),ROW()-1)),"")</f>
        <v/>
      </c>
      <c r="S389">
        <f t="array" ref="S389">IFERROR(INDEX($L$2:$L$501,SMALL(IF($M$2:$M$501=0,ROW($M$2:$M$501)-1),ROW()-1)),"")</f>
        <v/>
      </c>
      <c r="U389">
        <f t="array" ref="U389">IFERROR(INDEX($C$2:$C$501,SMALL(IF($D$2:$D$501="France",ROW($D$2:$D$501)-1),ROW()-1)),"")</f>
        <v/>
      </c>
      <c r="V389">
        <f t="array" ref="V389">IFERROR(INDEX($C$2:$C$501,SMALL(IF($D$2:$D$501="Germany",ROW($D$2:$D$501)-1),ROW()-1)),"")</f>
        <v/>
      </c>
      <c r="W389">
        <f t="array" ref="W389">IFERROR(INDEX($C$2:$C$501,SMALL(IF($D$2:$D$501="Spain",ROW($D$2:$D$501)-1),ROW()-1)),"")</f>
        <v/>
      </c>
    </row>
    <row r="390">
      <c r="A390" t="n">
        <v>389</v>
      </c>
      <c r="B390" t="inlineStr">
        <is>
          <t>Brown</t>
        </is>
      </c>
      <c r="C390" t="n">
        <v>540</v>
      </c>
      <c r="D390" t="inlineStr">
        <is>
          <t>France</t>
        </is>
      </c>
      <c r="E390" t="inlineStr">
        <is>
          <t>Female</t>
        </is>
      </c>
      <c r="F390" t="n">
        <v>73</v>
      </c>
      <c r="G390" t="n">
        <v>7</v>
      </c>
      <c r="H390" t="n">
        <v>244670.66</v>
      </c>
      <c r="I390" t="n">
        <v>2</v>
      </c>
      <c r="J390" t="n">
        <v>1</v>
      </c>
      <c r="K390" t="n">
        <v>1</v>
      </c>
      <c r="L390" t="n">
        <v>12942.78</v>
      </c>
      <c r="M390" t="n">
        <v>0</v>
      </c>
      <c r="O390">
        <f>IF($M390=1,$L390,"")</f>
        <v/>
      </c>
      <c r="P390">
        <f>IF($M390=0,$L390,"")</f>
        <v/>
      </c>
      <c r="R390">
        <f t="array" ref="R390">IFERROR(INDEX($L$2:$L$501,SMALL(IF($M$2:$M$501=1,ROW($M$2:$M$501)-1),ROW()-1)),"")</f>
        <v/>
      </c>
      <c r="S390">
        <f t="array" ref="S390">IFERROR(INDEX($L$2:$L$501,SMALL(IF($M$2:$M$501=0,ROW($M$2:$M$501)-1),ROW()-1)),"")</f>
        <v/>
      </c>
      <c r="U390">
        <f t="array" ref="U390">IFERROR(INDEX($C$2:$C$501,SMALL(IF($D$2:$D$501="France",ROW($D$2:$D$501)-1),ROW()-1)),"")</f>
        <v/>
      </c>
      <c r="V390">
        <f t="array" ref="V390">IFERROR(INDEX($C$2:$C$501,SMALL(IF($D$2:$D$501="Germany",ROW($D$2:$D$501)-1),ROW()-1)),"")</f>
        <v/>
      </c>
      <c r="W390">
        <f t="array" ref="W390">IFERROR(INDEX($C$2:$C$501,SMALL(IF($D$2:$D$501="Spain",ROW($D$2:$D$501)-1),ROW()-1)),"")</f>
        <v/>
      </c>
    </row>
    <row r="391">
      <c r="A391" t="n">
        <v>390</v>
      </c>
      <c r="B391" t="inlineStr">
        <is>
          <t>Johnson</t>
        </is>
      </c>
      <c r="C391" t="n">
        <v>429</v>
      </c>
      <c r="D391" t="inlineStr">
        <is>
          <t>France</t>
        </is>
      </c>
      <c r="E391" t="inlineStr">
        <is>
          <t>Female</t>
        </is>
      </c>
      <c r="F391" t="n">
        <v>41</v>
      </c>
      <c r="G391" t="n">
        <v>9</v>
      </c>
      <c r="H391" t="n">
        <v>110666.99</v>
      </c>
      <c r="I391" t="n">
        <v>1</v>
      </c>
      <c r="J391" t="n">
        <v>0</v>
      </c>
      <c r="K391" t="n">
        <v>1</v>
      </c>
      <c r="L391" t="n">
        <v>128261.18</v>
      </c>
      <c r="M391" t="n">
        <v>1</v>
      </c>
      <c r="O391">
        <f>IF($M391=1,$L391,"")</f>
        <v/>
      </c>
      <c r="P391">
        <f>IF($M391=0,$L391,"")</f>
        <v/>
      </c>
      <c r="R391">
        <f t="array" ref="R391">IFERROR(INDEX($L$2:$L$501,SMALL(IF($M$2:$M$501=1,ROW($M$2:$M$501)-1),ROW()-1)),"")</f>
        <v/>
      </c>
      <c r="S391">
        <f t="array" ref="S391">IFERROR(INDEX($L$2:$L$501,SMALL(IF($M$2:$M$501=0,ROW($M$2:$M$501)-1),ROW()-1)),"")</f>
        <v/>
      </c>
      <c r="U391">
        <f t="array" ref="U391">IFERROR(INDEX($C$2:$C$501,SMALL(IF($D$2:$D$501="France",ROW($D$2:$D$501)-1),ROW()-1)),"")</f>
        <v/>
      </c>
      <c r="V391">
        <f t="array" ref="V391">IFERROR(INDEX($C$2:$C$501,SMALL(IF($D$2:$D$501="Germany",ROW($D$2:$D$501)-1),ROW()-1)),"")</f>
        <v/>
      </c>
      <c r="W391">
        <f t="array" ref="W391">IFERROR(INDEX($C$2:$C$501,SMALL(IF($D$2:$D$501="Spain",ROW($D$2:$D$501)-1),ROW()-1)),"")</f>
        <v/>
      </c>
    </row>
    <row r="392">
      <c r="A392" t="n">
        <v>391</v>
      </c>
      <c r="B392" t="inlineStr">
        <is>
          <t>Brown</t>
        </is>
      </c>
      <c r="C392" t="n">
        <v>580</v>
      </c>
      <c r="D392" t="inlineStr">
        <is>
          <t>France</t>
        </is>
      </c>
      <c r="E392" t="inlineStr">
        <is>
          <t>Female</t>
        </is>
      </c>
      <c r="F392" t="n">
        <v>75</v>
      </c>
      <c r="G392" t="n">
        <v>3</v>
      </c>
      <c r="H392" t="n">
        <v>206215.22</v>
      </c>
      <c r="I392" t="n">
        <v>1</v>
      </c>
      <c r="J392" t="n">
        <v>0</v>
      </c>
      <c r="K392" t="n">
        <v>1</v>
      </c>
      <c r="L392" t="n">
        <v>73777.07000000001</v>
      </c>
      <c r="M392" t="n">
        <v>1</v>
      </c>
      <c r="O392">
        <f>IF($M392=1,$L392,"")</f>
        <v/>
      </c>
      <c r="P392">
        <f>IF($M392=0,$L392,"")</f>
        <v/>
      </c>
      <c r="R392">
        <f t="array" ref="R392">IFERROR(INDEX($L$2:$L$501,SMALL(IF($M$2:$M$501=1,ROW($M$2:$M$501)-1),ROW()-1)),"")</f>
        <v/>
      </c>
      <c r="S392">
        <f t="array" ref="S392">IFERROR(INDEX($L$2:$L$501,SMALL(IF($M$2:$M$501=0,ROW($M$2:$M$501)-1),ROW()-1)),"")</f>
        <v/>
      </c>
      <c r="U392">
        <f t="array" ref="U392">IFERROR(INDEX($C$2:$C$501,SMALL(IF($D$2:$D$501="France",ROW($D$2:$D$501)-1),ROW()-1)),"")</f>
        <v/>
      </c>
      <c r="V392">
        <f t="array" ref="V392">IFERROR(INDEX($C$2:$C$501,SMALL(IF($D$2:$D$501="Germany",ROW($D$2:$D$501)-1),ROW()-1)),"")</f>
        <v/>
      </c>
      <c r="W392">
        <f t="array" ref="W392">IFERROR(INDEX($C$2:$C$501,SMALL(IF($D$2:$D$501="Spain",ROW($D$2:$D$501)-1),ROW()-1)),"")</f>
        <v/>
      </c>
    </row>
    <row r="393">
      <c r="A393" t="n">
        <v>392</v>
      </c>
      <c r="B393" t="inlineStr">
        <is>
          <t>Davis</t>
        </is>
      </c>
      <c r="C393" t="n">
        <v>556</v>
      </c>
      <c r="D393" t="inlineStr">
        <is>
          <t>Spain</t>
        </is>
      </c>
      <c r="E393" t="inlineStr">
        <is>
          <t>Male</t>
        </is>
      </c>
      <c r="F393" t="n">
        <v>27</v>
      </c>
      <c r="G393" t="n">
        <v>6</v>
      </c>
      <c r="H393" t="n">
        <v>70279.97</v>
      </c>
      <c r="I393" t="n">
        <v>4</v>
      </c>
      <c r="J393" t="n">
        <v>0</v>
      </c>
      <c r="K393" t="n">
        <v>0</v>
      </c>
      <c r="L393" t="n">
        <v>35799.88</v>
      </c>
      <c r="M393" t="n">
        <v>1</v>
      </c>
      <c r="O393">
        <f>IF($M393=1,$L393,"")</f>
        <v/>
      </c>
      <c r="P393">
        <f>IF($M393=0,$L393,"")</f>
        <v/>
      </c>
      <c r="R393">
        <f t="array" ref="R393">IFERROR(INDEX($L$2:$L$501,SMALL(IF($M$2:$M$501=1,ROW($M$2:$M$501)-1),ROW()-1)),"")</f>
        <v/>
      </c>
      <c r="S393">
        <f t="array" ref="S393">IFERROR(INDEX($L$2:$L$501,SMALL(IF($M$2:$M$501=0,ROW($M$2:$M$501)-1),ROW()-1)),"")</f>
        <v/>
      </c>
      <c r="U393">
        <f t="array" ref="U393">IFERROR(INDEX($C$2:$C$501,SMALL(IF($D$2:$D$501="France",ROW($D$2:$D$501)-1),ROW()-1)),"")</f>
        <v/>
      </c>
      <c r="V393">
        <f t="array" ref="V393">IFERROR(INDEX($C$2:$C$501,SMALL(IF($D$2:$D$501="Germany",ROW($D$2:$D$501)-1),ROW()-1)),"")</f>
        <v/>
      </c>
      <c r="W393">
        <f t="array" ref="W393">IFERROR(INDEX($C$2:$C$501,SMALL(IF($D$2:$D$501="Spain",ROW($D$2:$D$501)-1),ROW()-1)),"")</f>
        <v/>
      </c>
    </row>
    <row r="394">
      <c r="A394" t="n">
        <v>393</v>
      </c>
      <c r="B394" t="inlineStr">
        <is>
          <t>Smith</t>
        </is>
      </c>
      <c r="C394" t="n">
        <v>767</v>
      </c>
      <c r="D394" t="inlineStr">
        <is>
          <t>France</t>
        </is>
      </c>
      <c r="E394" t="inlineStr">
        <is>
          <t>Female</t>
        </is>
      </c>
      <c r="F394" t="n">
        <v>18</v>
      </c>
      <c r="G394" t="n">
        <v>3</v>
      </c>
      <c r="H394" t="n">
        <v>117042.43</v>
      </c>
      <c r="I394" t="n">
        <v>1</v>
      </c>
      <c r="J394" t="n">
        <v>0</v>
      </c>
      <c r="K394" t="n">
        <v>0</v>
      </c>
      <c r="L394" t="n">
        <v>97218.44</v>
      </c>
      <c r="M394" t="n">
        <v>1</v>
      </c>
      <c r="O394">
        <f>IF($M394=1,$L394,"")</f>
        <v/>
      </c>
      <c r="P394">
        <f>IF($M394=0,$L394,"")</f>
        <v/>
      </c>
      <c r="R394">
        <f t="array" ref="R394">IFERROR(INDEX($L$2:$L$501,SMALL(IF($M$2:$M$501=1,ROW($M$2:$M$501)-1),ROW()-1)),"")</f>
        <v/>
      </c>
      <c r="S394">
        <f t="array" ref="S394">IFERROR(INDEX($L$2:$L$501,SMALL(IF($M$2:$M$501=0,ROW($M$2:$M$501)-1),ROW()-1)),"")</f>
        <v/>
      </c>
      <c r="U394">
        <f t="array" ref="U394">IFERROR(INDEX($C$2:$C$501,SMALL(IF($D$2:$D$501="France",ROW($D$2:$D$501)-1),ROW()-1)),"")</f>
        <v/>
      </c>
      <c r="V394">
        <f t="array" ref="V394">IFERROR(INDEX($C$2:$C$501,SMALL(IF($D$2:$D$501="Germany",ROW($D$2:$D$501)-1),ROW()-1)),"")</f>
        <v/>
      </c>
      <c r="W394">
        <f t="array" ref="W394">IFERROR(INDEX($C$2:$C$501,SMALL(IF($D$2:$D$501="Spain",ROW($D$2:$D$501)-1),ROW()-1)),"")</f>
        <v/>
      </c>
    </row>
    <row r="395">
      <c r="A395" t="n">
        <v>394</v>
      </c>
      <c r="B395" t="inlineStr">
        <is>
          <t>Jones</t>
        </is>
      </c>
      <c r="C395" t="n">
        <v>738</v>
      </c>
      <c r="D395" t="inlineStr">
        <is>
          <t>Germany</t>
        </is>
      </c>
      <c r="E395" t="inlineStr">
        <is>
          <t>Female</t>
        </is>
      </c>
      <c r="F395" t="n">
        <v>37</v>
      </c>
      <c r="G395" t="n">
        <v>7</v>
      </c>
      <c r="H395" t="n">
        <v>206465.41</v>
      </c>
      <c r="I395" t="n">
        <v>2</v>
      </c>
      <c r="J395" t="n">
        <v>1</v>
      </c>
      <c r="K395" t="n">
        <v>1</v>
      </c>
      <c r="L395" t="n">
        <v>81839.69</v>
      </c>
      <c r="M395" t="n">
        <v>0</v>
      </c>
      <c r="O395">
        <f>IF($M395=1,$L395,"")</f>
        <v/>
      </c>
      <c r="P395">
        <f>IF($M395=0,$L395,"")</f>
        <v/>
      </c>
      <c r="R395">
        <f t="array" ref="R395">IFERROR(INDEX($L$2:$L$501,SMALL(IF($M$2:$M$501=1,ROW($M$2:$M$501)-1),ROW()-1)),"")</f>
        <v/>
      </c>
      <c r="S395">
        <f t="array" ref="S395">IFERROR(INDEX($L$2:$L$501,SMALL(IF($M$2:$M$501=0,ROW($M$2:$M$501)-1),ROW()-1)),"")</f>
        <v/>
      </c>
      <c r="U395">
        <f t="array" ref="U395">IFERROR(INDEX($C$2:$C$501,SMALL(IF($D$2:$D$501="France",ROW($D$2:$D$501)-1),ROW()-1)),"")</f>
        <v/>
      </c>
      <c r="V395">
        <f t="array" ref="V395">IFERROR(INDEX($C$2:$C$501,SMALL(IF($D$2:$D$501="Germany",ROW($D$2:$D$501)-1),ROW()-1)),"")</f>
        <v/>
      </c>
      <c r="W395">
        <f t="array" ref="W395">IFERROR(INDEX($C$2:$C$501,SMALL(IF($D$2:$D$501="Spain",ROW($D$2:$D$501)-1),ROW()-1)),"")</f>
        <v/>
      </c>
    </row>
    <row r="396">
      <c r="A396" t="n">
        <v>395</v>
      </c>
      <c r="B396" t="inlineStr">
        <is>
          <t>Johnson</t>
        </is>
      </c>
      <c r="C396" t="n">
        <v>750</v>
      </c>
      <c r="D396" t="inlineStr">
        <is>
          <t>France</t>
        </is>
      </c>
      <c r="E396" t="inlineStr">
        <is>
          <t>Female</t>
        </is>
      </c>
      <c r="F396" t="n">
        <v>89</v>
      </c>
      <c r="G396" t="n">
        <v>7</v>
      </c>
      <c r="H396" t="n">
        <v>192173.02</v>
      </c>
      <c r="I396" t="n">
        <v>4</v>
      </c>
      <c r="J396" t="n">
        <v>0</v>
      </c>
      <c r="K396" t="n">
        <v>1</v>
      </c>
      <c r="L396" t="n">
        <v>99695.37</v>
      </c>
      <c r="M396" t="n">
        <v>1</v>
      </c>
      <c r="O396">
        <f>IF($M396=1,$L396,"")</f>
        <v/>
      </c>
      <c r="P396">
        <f>IF($M396=0,$L396,"")</f>
        <v/>
      </c>
      <c r="R396">
        <f t="array" ref="R396">IFERROR(INDEX($L$2:$L$501,SMALL(IF($M$2:$M$501=1,ROW($M$2:$M$501)-1),ROW()-1)),"")</f>
        <v/>
      </c>
      <c r="S396">
        <f t="array" ref="S396">IFERROR(INDEX($L$2:$L$501,SMALL(IF($M$2:$M$501=0,ROW($M$2:$M$501)-1),ROW()-1)),"")</f>
        <v/>
      </c>
      <c r="U396">
        <f t="array" ref="U396">IFERROR(INDEX($C$2:$C$501,SMALL(IF($D$2:$D$501="France",ROW($D$2:$D$501)-1),ROW()-1)),"")</f>
        <v/>
      </c>
      <c r="V396">
        <f t="array" ref="V396">IFERROR(INDEX($C$2:$C$501,SMALL(IF($D$2:$D$501="Germany",ROW($D$2:$D$501)-1),ROW()-1)),"")</f>
        <v/>
      </c>
      <c r="W396">
        <f t="array" ref="W396">IFERROR(INDEX($C$2:$C$501,SMALL(IF($D$2:$D$501="Spain",ROW($D$2:$D$501)-1),ROW()-1)),"")</f>
        <v/>
      </c>
    </row>
    <row r="397">
      <c r="A397" t="n">
        <v>396</v>
      </c>
      <c r="B397" t="inlineStr">
        <is>
          <t>Brown</t>
        </is>
      </c>
      <c r="C397" t="n">
        <v>578</v>
      </c>
      <c r="D397" t="inlineStr">
        <is>
          <t>Spain</t>
        </is>
      </c>
      <c r="E397" t="inlineStr">
        <is>
          <t>Male</t>
        </is>
      </c>
      <c r="F397" t="n">
        <v>68</v>
      </c>
      <c r="G397" t="n">
        <v>2</v>
      </c>
      <c r="H397" t="n">
        <v>59641.51</v>
      </c>
      <c r="I397" t="n">
        <v>4</v>
      </c>
      <c r="J397" t="n">
        <v>0</v>
      </c>
      <c r="K397" t="n">
        <v>0</v>
      </c>
      <c r="L397" t="n">
        <v>61207.9</v>
      </c>
      <c r="M397" t="n">
        <v>1</v>
      </c>
      <c r="O397">
        <f>IF($M397=1,$L397,"")</f>
        <v/>
      </c>
      <c r="P397">
        <f>IF($M397=0,$L397,"")</f>
        <v/>
      </c>
      <c r="R397">
        <f t="array" ref="R397">IFERROR(INDEX($L$2:$L$501,SMALL(IF($M$2:$M$501=1,ROW($M$2:$M$501)-1),ROW()-1)),"")</f>
        <v/>
      </c>
      <c r="S397">
        <f t="array" ref="S397">IFERROR(INDEX($L$2:$L$501,SMALL(IF($M$2:$M$501=0,ROW($M$2:$M$501)-1),ROW()-1)),"")</f>
        <v/>
      </c>
      <c r="U397">
        <f t="array" ref="U397">IFERROR(INDEX($C$2:$C$501,SMALL(IF($D$2:$D$501="France",ROW($D$2:$D$501)-1),ROW()-1)),"")</f>
        <v/>
      </c>
      <c r="V397">
        <f t="array" ref="V397">IFERROR(INDEX($C$2:$C$501,SMALL(IF($D$2:$D$501="Germany",ROW($D$2:$D$501)-1),ROW()-1)),"")</f>
        <v/>
      </c>
      <c r="W397">
        <f t="array" ref="W397">IFERROR(INDEX($C$2:$C$501,SMALL(IF($D$2:$D$501="Spain",ROW($D$2:$D$501)-1),ROW()-1)),"")</f>
        <v/>
      </c>
    </row>
    <row r="398">
      <c r="A398" t="n">
        <v>397</v>
      </c>
      <c r="B398" t="inlineStr">
        <is>
          <t>Brown</t>
        </is>
      </c>
      <c r="C398" t="n">
        <v>677</v>
      </c>
      <c r="D398" t="inlineStr">
        <is>
          <t>France</t>
        </is>
      </c>
      <c r="E398" t="inlineStr">
        <is>
          <t>Female</t>
        </is>
      </c>
      <c r="F398" t="n">
        <v>56</v>
      </c>
      <c r="G398" t="n">
        <v>7</v>
      </c>
      <c r="H398" t="n">
        <v>63179.37</v>
      </c>
      <c r="I398" t="n">
        <v>2</v>
      </c>
      <c r="J398" t="n">
        <v>0</v>
      </c>
      <c r="K398" t="n">
        <v>1</v>
      </c>
      <c r="L398" t="n">
        <v>121798.16</v>
      </c>
      <c r="M398" t="n">
        <v>0</v>
      </c>
      <c r="O398">
        <f>IF($M398=1,$L398,"")</f>
        <v/>
      </c>
      <c r="P398">
        <f>IF($M398=0,$L398,"")</f>
        <v/>
      </c>
      <c r="R398">
        <f t="array" ref="R398">IFERROR(INDEX($L$2:$L$501,SMALL(IF($M$2:$M$501=1,ROW($M$2:$M$501)-1),ROW()-1)),"")</f>
        <v/>
      </c>
      <c r="S398">
        <f t="array" ref="S398">IFERROR(INDEX($L$2:$L$501,SMALL(IF($M$2:$M$501=0,ROW($M$2:$M$501)-1),ROW()-1)),"")</f>
        <v/>
      </c>
      <c r="U398">
        <f t="array" ref="U398">IFERROR(INDEX($C$2:$C$501,SMALL(IF($D$2:$D$501="France",ROW($D$2:$D$501)-1),ROW()-1)),"")</f>
        <v/>
      </c>
      <c r="V398">
        <f t="array" ref="V398">IFERROR(INDEX($C$2:$C$501,SMALL(IF($D$2:$D$501="Germany",ROW($D$2:$D$501)-1),ROW()-1)),"")</f>
        <v/>
      </c>
      <c r="W398">
        <f t="array" ref="W398">IFERROR(INDEX($C$2:$C$501,SMALL(IF($D$2:$D$501="Spain",ROW($D$2:$D$501)-1),ROW()-1)),"")</f>
        <v/>
      </c>
    </row>
    <row r="399">
      <c r="A399" t="n">
        <v>398</v>
      </c>
      <c r="B399" t="inlineStr">
        <is>
          <t>Brown</t>
        </is>
      </c>
      <c r="C399" t="n">
        <v>668</v>
      </c>
      <c r="D399" t="inlineStr">
        <is>
          <t>Germany</t>
        </is>
      </c>
      <c r="E399" t="inlineStr">
        <is>
          <t>Female</t>
        </is>
      </c>
      <c r="F399" t="n">
        <v>85</v>
      </c>
      <c r="G399" t="n">
        <v>8</v>
      </c>
      <c r="H399" t="n">
        <v>137118.25</v>
      </c>
      <c r="I399" t="n">
        <v>1</v>
      </c>
      <c r="J399" t="n">
        <v>1</v>
      </c>
      <c r="K399" t="n">
        <v>1</v>
      </c>
      <c r="L399" t="n">
        <v>69952.50999999999</v>
      </c>
      <c r="M399" t="n">
        <v>1</v>
      </c>
      <c r="O399">
        <f>IF($M399=1,$L399,"")</f>
        <v/>
      </c>
      <c r="P399">
        <f>IF($M399=0,$L399,"")</f>
        <v/>
      </c>
      <c r="R399">
        <f t="array" ref="R399">IFERROR(INDEX($L$2:$L$501,SMALL(IF($M$2:$M$501=1,ROW($M$2:$M$501)-1),ROW()-1)),"")</f>
        <v/>
      </c>
      <c r="S399">
        <f t="array" ref="S399">IFERROR(INDEX($L$2:$L$501,SMALL(IF($M$2:$M$501=0,ROW($M$2:$M$501)-1),ROW()-1)),"")</f>
        <v/>
      </c>
      <c r="U399">
        <f t="array" ref="U399">IFERROR(INDEX($C$2:$C$501,SMALL(IF($D$2:$D$501="France",ROW($D$2:$D$501)-1),ROW()-1)),"")</f>
        <v/>
      </c>
      <c r="V399">
        <f t="array" ref="V399">IFERROR(INDEX($C$2:$C$501,SMALL(IF($D$2:$D$501="Germany",ROW($D$2:$D$501)-1),ROW()-1)),"")</f>
        <v/>
      </c>
      <c r="W399">
        <f t="array" ref="W399">IFERROR(INDEX($C$2:$C$501,SMALL(IF($D$2:$D$501="Spain",ROW($D$2:$D$501)-1),ROW()-1)),"")</f>
        <v/>
      </c>
    </row>
    <row r="400">
      <c r="A400" t="n">
        <v>399</v>
      </c>
      <c r="B400" t="inlineStr">
        <is>
          <t>Smith</t>
        </is>
      </c>
      <c r="C400" t="n">
        <v>629</v>
      </c>
      <c r="D400" t="inlineStr">
        <is>
          <t>Germany</t>
        </is>
      </c>
      <c r="E400" t="inlineStr">
        <is>
          <t>Female</t>
        </is>
      </c>
      <c r="F400" t="n">
        <v>48</v>
      </c>
      <c r="G400" t="n">
        <v>4</v>
      </c>
      <c r="H400" t="n">
        <v>234503.75</v>
      </c>
      <c r="I400" t="n">
        <v>1</v>
      </c>
      <c r="J400" t="n">
        <v>1</v>
      </c>
      <c r="K400" t="n">
        <v>0</v>
      </c>
      <c r="L400" t="n">
        <v>64388.61</v>
      </c>
      <c r="M400" t="n">
        <v>0</v>
      </c>
      <c r="O400">
        <f>IF($M400=1,$L400,"")</f>
        <v/>
      </c>
      <c r="P400">
        <f>IF($M400=0,$L400,"")</f>
        <v/>
      </c>
      <c r="R400">
        <f t="array" ref="R400">IFERROR(INDEX($L$2:$L$501,SMALL(IF($M$2:$M$501=1,ROW($M$2:$M$501)-1),ROW()-1)),"")</f>
        <v/>
      </c>
      <c r="S400">
        <f t="array" ref="S400">IFERROR(INDEX($L$2:$L$501,SMALL(IF($M$2:$M$501=0,ROW($M$2:$M$501)-1),ROW()-1)),"")</f>
        <v/>
      </c>
      <c r="U400">
        <f t="array" ref="U400">IFERROR(INDEX($C$2:$C$501,SMALL(IF($D$2:$D$501="France",ROW($D$2:$D$501)-1),ROW()-1)),"")</f>
        <v/>
      </c>
      <c r="V400">
        <f t="array" ref="V400">IFERROR(INDEX($C$2:$C$501,SMALL(IF($D$2:$D$501="Germany",ROW($D$2:$D$501)-1),ROW()-1)),"")</f>
        <v/>
      </c>
      <c r="W400">
        <f t="array" ref="W400">IFERROR(INDEX($C$2:$C$501,SMALL(IF($D$2:$D$501="Spain",ROW($D$2:$D$501)-1),ROW()-1)),"")</f>
        <v/>
      </c>
    </row>
    <row r="401">
      <c r="A401" t="n">
        <v>400</v>
      </c>
      <c r="B401" t="inlineStr">
        <is>
          <t>Smith</t>
        </is>
      </c>
      <c r="C401" t="n">
        <v>697</v>
      </c>
      <c r="D401" t="inlineStr">
        <is>
          <t>Germany</t>
        </is>
      </c>
      <c r="E401" t="inlineStr">
        <is>
          <t>Male</t>
        </is>
      </c>
      <c r="F401" t="n">
        <v>55</v>
      </c>
      <c r="G401" t="n">
        <v>3</v>
      </c>
      <c r="H401" t="n">
        <v>29981.98</v>
      </c>
      <c r="I401" t="n">
        <v>1</v>
      </c>
      <c r="J401" t="n">
        <v>1</v>
      </c>
      <c r="K401" t="n">
        <v>0</v>
      </c>
      <c r="L401" t="n">
        <v>97693.25999999999</v>
      </c>
      <c r="M401" t="n">
        <v>1</v>
      </c>
      <c r="O401">
        <f>IF($M401=1,$L401,"")</f>
        <v/>
      </c>
      <c r="P401">
        <f>IF($M401=0,$L401,"")</f>
        <v/>
      </c>
      <c r="R401">
        <f t="array" ref="R401">IFERROR(INDEX($L$2:$L$501,SMALL(IF($M$2:$M$501=1,ROW($M$2:$M$501)-1),ROW()-1)),"")</f>
        <v/>
      </c>
      <c r="S401">
        <f t="array" ref="S401">IFERROR(INDEX($L$2:$L$501,SMALL(IF($M$2:$M$501=0,ROW($M$2:$M$501)-1),ROW()-1)),"")</f>
        <v/>
      </c>
      <c r="U401">
        <f t="array" ref="U401">IFERROR(INDEX($C$2:$C$501,SMALL(IF($D$2:$D$501="France",ROW($D$2:$D$501)-1),ROW()-1)),"")</f>
        <v/>
      </c>
      <c r="V401">
        <f t="array" ref="V401">IFERROR(INDEX($C$2:$C$501,SMALL(IF($D$2:$D$501="Germany",ROW($D$2:$D$501)-1),ROW()-1)),"")</f>
        <v/>
      </c>
      <c r="W401">
        <f t="array" ref="W401">IFERROR(INDEX($C$2:$C$501,SMALL(IF($D$2:$D$501="Spain",ROW($D$2:$D$501)-1),ROW()-1)),"")</f>
        <v/>
      </c>
    </row>
    <row r="402">
      <c r="A402" t="n">
        <v>401</v>
      </c>
      <c r="B402" t="inlineStr">
        <is>
          <t>Moore</t>
        </is>
      </c>
      <c r="C402" t="n">
        <v>716</v>
      </c>
      <c r="D402" t="inlineStr">
        <is>
          <t>Spain</t>
        </is>
      </c>
      <c r="E402" t="inlineStr">
        <is>
          <t>Female</t>
        </is>
      </c>
      <c r="F402" t="n">
        <v>74</v>
      </c>
      <c r="G402" t="n">
        <v>10</v>
      </c>
      <c r="H402" t="n">
        <v>193015.5</v>
      </c>
      <c r="I402" t="n">
        <v>4</v>
      </c>
      <c r="J402" t="n">
        <v>0</v>
      </c>
      <c r="K402" t="n">
        <v>0</v>
      </c>
      <c r="L402" t="n">
        <v>127051.78</v>
      </c>
      <c r="M402" t="n">
        <v>0</v>
      </c>
      <c r="O402">
        <f>IF($M402=1,$L402,"")</f>
        <v/>
      </c>
      <c r="P402">
        <f>IF($M402=0,$L402,"")</f>
        <v/>
      </c>
      <c r="R402">
        <f t="array" ref="R402">IFERROR(INDEX($L$2:$L$501,SMALL(IF($M$2:$M$501=1,ROW($M$2:$M$501)-1),ROW()-1)),"")</f>
        <v/>
      </c>
      <c r="S402">
        <f t="array" ref="S402">IFERROR(INDEX($L$2:$L$501,SMALL(IF($M$2:$M$501=0,ROW($M$2:$M$501)-1),ROW()-1)),"")</f>
        <v/>
      </c>
      <c r="U402">
        <f t="array" ref="U402">IFERROR(INDEX($C$2:$C$501,SMALL(IF($D$2:$D$501="France",ROW($D$2:$D$501)-1),ROW()-1)),"")</f>
        <v/>
      </c>
      <c r="V402">
        <f t="array" ref="V402">IFERROR(INDEX($C$2:$C$501,SMALL(IF($D$2:$D$501="Germany",ROW($D$2:$D$501)-1),ROW()-1)),"")</f>
        <v/>
      </c>
      <c r="W402">
        <f t="array" ref="W402">IFERROR(INDEX($C$2:$C$501,SMALL(IF($D$2:$D$501="Spain",ROW($D$2:$D$501)-1),ROW()-1)),"")</f>
        <v/>
      </c>
    </row>
    <row r="403">
      <c r="A403" t="n">
        <v>402</v>
      </c>
      <c r="B403" t="inlineStr">
        <is>
          <t>Brown</t>
        </is>
      </c>
      <c r="C403" t="n">
        <v>357</v>
      </c>
      <c r="D403" t="inlineStr">
        <is>
          <t>Germany</t>
        </is>
      </c>
      <c r="E403" t="inlineStr">
        <is>
          <t>Female</t>
        </is>
      </c>
      <c r="F403" t="n">
        <v>23</v>
      </c>
      <c r="G403" t="n">
        <v>0</v>
      </c>
      <c r="H403" t="n">
        <v>184400.14</v>
      </c>
      <c r="I403" t="n">
        <v>2</v>
      </c>
      <c r="J403" t="n">
        <v>1</v>
      </c>
      <c r="K403" t="n">
        <v>1</v>
      </c>
      <c r="L403" t="n">
        <v>22278.37</v>
      </c>
      <c r="M403" t="n">
        <v>0</v>
      </c>
      <c r="O403">
        <f>IF($M403=1,$L403,"")</f>
        <v/>
      </c>
      <c r="P403">
        <f>IF($M403=0,$L403,"")</f>
        <v/>
      </c>
      <c r="R403">
        <f t="array" ref="R403">IFERROR(INDEX($L$2:$L$501,SMALL(IF($M$2:$M$501=1,ROW($M$2:$M$501)-1),ROW()-1)),"")</f>
        <v/>
      </c>
      <c r="S403">
        <f t="array" ref="S403">IFERROR(INDEX($L$2:$L$501,SMALL(IF($M$2:$M$501=0,ROW($M$2:$M$501)-1),ROW()-1)),"")</f>
        <v/>
      </c>
      <c r="U403">
        <f t="array" ref="U403">IFERROR(INDEX($C$2:$C$501,SMALL(IF($D$2:$D$501="France",ROW($D$2:$D$501)-1),ROW()-1)),"")</f>
        <v/>
      </c>
      <c r="V403">
        <f t="array" ref="V403">IFERROR(INDEX($C$2:$C$501,SMALL(IF($D$2:$D$501="Germany",ROW($D$2:$D$501)-1),ROW()-1)),"")</f>
        <v/>
      </c>
      <c r="W403">
        <f t="array" ref="W403">IFERROR(INDEX($C$2:$C$501,SMALL(IF($D$2:$D$501="Spain",ROW($D$2:$D$501)-1),ROW()-1)),"")</f>
        <v/>
      </c>
    </row>
    <row r="404">
      <c r="A404" t="n">
        <v>403</v>
      </c>
      <c r="B404" t="inlineStr">
        <is>
          <t>Miller</t>
        </is>
      </c>
      <c r="C404" t="n">
        <v>628</v>
      </c>
      <c r="D404" t="inlineStr">
        <is>
          <t>France</t>
        </is>
      </c>
      <c r="E404" t="inlineStr">
        <is>
          <t>Male</t>
        </is>
      </c>
      <c r="F404" t="n">
        <v>77</v>
      </c>
      <c r="G404" t="n">
        <v>2</v>
      </c>
      <c r="H404" t="n">
        <v>212693.91</v>
      </c>
      <c r="I404" t="n">
        <v>4</v>
      </c>
      <c r="J404" t="n">
        <v>1</v>
      </c>
      <c r="K404" t="n">
        <v>1</v>
      </c>
      <c r="L404" t="n">
        <v>71242.42</v>
      </c>
      <c r="M404" t="n">
        <v>1</v>
      </c>
      <c r="O404">
        <f>IF($M404=1,$L404,"")</f>
        <v/>
      </c>
      <c r="P404">
        <f>IF($M404=0,$L404,"")</f>
        <v/>
      </c>
      <c r="R404">
        <f t="array" ref="R404">IFERROR(INDEX($L$2:$L$501,SMALL(IF($M$2:$M$501=1,ROW($M$2:$M$501)-1),ROW()-1)),"")</f>
        <v/>
      </c>
      <c r="S404">
        <f t="array" ref="S404">IFERROR(INDEX($L$2:$L$501,SMALL(IF($M$2:$M$501=0,ROW($M$2:$M$501)-1),ROW()-1)),"")</f>
        <v/>
      </c>
      <c r="U404">
        <f t="array" ref="U404">IFERROR(INDEX($C$2:$C$501,SMALL(IF($D$2:$D$501="France",ROW($D$2:$D$501)-1),ROW()-1)),"")</f>
        <v/>
      </c>
      <c r="V404">
        <f t="array" ref="V404">IFERROR(INDEX($C$2:$C$501,SMALL(IF($D$2:$D$501="Germany",ROW($D$2:$D$501)-1),ROW()-1)),"")</f>
        <v/>
      </c>
      <c r="W404">
        <f t="array" ref="W404">IFERROR(INDEX($C$2:$C$501,SMALL(IF($D$2:$D$501="Spain",ROW($D$2:$D$501)-1),ROW()-1)),"")</f>
        <v/>
      </c>
    </row>
    <row r="405">
      <c r="A405" t="n">
        <v>404</v>
      </c>
      <c r="B405" t="inlineStr">
        <is>
          <t>Taylor</t>
        </is>
      </c>
      <c r="C405" t="n">
        <v>704</v>
      </c>
      <c r="D405" t="inlineStr">
        <is>
          <t>France</t>
        </is>
      </c>
      <c r="E405" t="inlineStr">
        <is>
          <t>Female</t>
        </is>
      </c>
      <c r="F405" t="n">
        <v>79</v>
      </c>
      <c r="G405" t="n">
        <v>10</v>
      </c>
      <c r="H405" t="n">
        <v>222300.09</v>
      </c>
      <c r="I405" t="n">
        <v>4</v>
      </c>
      <c r="J405" t="n">
        <v>0</v>
      </c>
      <c r="K405" t="n">
        <v>0</v>
      </c>
      <c r="L405" t="n">
        <v>76217.14</v>
      </c>
      <c r="M405" t="n">
        <v>1</v>
      </c>
      <c r="O405">
        <f>IF($M405=1,$L405,"")</f>
        <v/>
      </c>
      <c r="P405">
        <f>IF($M405=0,$L405,"")</f>
        <v/>
      </c>
      <c r="R405">
        <f t="array" ref="R405">IFERROR(INDEX($L$2:$L$501,SMALL(IF($M$2:$M$501=1,ROW($M$2:$M$501)-1),ROW()-1)),"")</f>
        <v/>
      </c>
      <c r="S405">
        <f t="array" ref="S405">IFERROR(INDEX($L$2:$L$501,SMALL(IF($M$2:$M$501=0,ROW($M$2:$M$501)-1),ROW()-1)),"")</f>
        <v/>
      </c>
      <c r="U405">
        <f t="array" ref="U405">IFERROR(INDEX($C$2:$C$501,SMALL(IF($D$2:$D$501="France",ROW($D$2:$D$501)-1),ROW()-1)),"")</f>
        <v/>
      </c>
      <c r="V405">
        <f t="array" ref="V405">IFERROR(INDEX($C$2:$C$501,SMALL(IF($D$2:$D$501="Germany",ROW($D$2:$D$501)-1),ROW()-1)),"")</f>
        <v/>
      </c>
      <c r="W405">
        <f t="array" ref="W405">IFERROR(INDEX($C$2:$C$501,SMALL(IF($D$2:$D$501="Spain",ROW($D$2:$D$501)-1),ROW()-1)),"")</f>
        <v/>
      </c>
    </row>
    <row r="406">
      <c r="A406" t="n">
        <v>405</v>
      </c>
      <c r="B406" t="inlineStr">
        <is>
          <t>Jones</t>
        </is>
      </c>
      <c r="C406" t="n">
        <v>508</v>
      </c>
      <c r="D406" t="inlineStr">
        <is>
          <t>Germany</t>
        </is>
      </c>
      <c r="E406" t="inlineStr">
        <is>
          <t>Male</t>
        </is>
      </c>
      <c r="F406" t="n">
        <v>49</v>
      </c>
      <c r="G406" t="n">
        <v>5</v>
      </c>
      <c r="H406" t="n">
        <v>220856.36</v>
      </c>
      <c r="I406" t="n">
        <v>1</v>
      </c>
      <c r="J406" t="n">
        <v>0</v>
      </c>
      <c r="K406" t="n">
        <v>1</v>
      </c>
      <c r="L406" t="n">
        <v>84471.69</v>
      </c>
      <c r="M406" t="n">
        <v>1</v>
      </c>
      <c r="O406">
        <f>IF($M406=1,$L406,"")</f>
        <v/>
      </c>
      <c r="P406">
        <f>IF($M406=0,$L406,"")</f>
        <v/>
      </c>
      <c r="R406">
        <f t="array" ref="R406">IFERROR(INDEX($L$2:$L$501,SMALL(IF($M$2:$M$501=1,ROW($M$2:$M$501)-1),ROW()-1)),"")</f>
        <v/>
      </c>
      <c r="S406">
        <f t="array" ref="S406">IFERROR(INDEX($L$2:$L$501,SMALL(IF($M$2:$M$501=0,ROW($M$2:$M$501)-1),ROW()-1)),"")</f>
        <v/>
      </c>
      <c r="U406">
        <f t="array" ref="U406">IFERROR(INDEX($C$2:$C$501,SMALL(IF($D$2:$D$501="France",ROW($D$2:$D$501)-1),ROW()-1)),"")</f>
        <v/>
      </c>
      <c r="V406">
        <f t="array" ref="V406">IFERROR(INDEX($C$2:$C$501,SMALL(IF($D$2:$D$501="Germany",ROW($D$2:$D$501)-1),ROW()-1)),"")</f>
        <v/>
      </c>
      <c r="W406">
        <f t="array" ref="W406">IFERROR(INDEX($C$2:$C$501,SMALL(IF($D$2:$D$501="Spain",ROW($D$2:$D$501)-1),ROW()-1)),"")</f>
        <v/>
      </c>
    </row>
    <row r="407">
      <c r="A407" t="n">
        <v>406</v>
      </c>
      <c r="B407" t="inlineStr">
        <is>
          <t>Jones</t>
        </is>
      </c>
      <c r="C407" t="n">
        <v>596</v>
      </c>
      <c r="D407" t="inlineStr">
        <is>
          <t>Spain</t>
        </is>
      </c>
      <c r="E407" t="inlineStr">
        <is>
          <t>Female</t>
        </is>
      </c>
      <c r="F407" t="n">
        <v>88</v>
      </c>
      <c r="G407" t="n">
        <v>4</v>
      </c>
      <c r="H407" t="n">
        <v>225228.97</v>
      </c>
      <c r="I407" t="n">
        <v>3</v>
      </c>
      <c r="J407" t="n">
        <v>0</v>
      </c>
      <c r="K407" t="n">
        <v>1</v>
      </c>
      <c r="L407" t="n">
        <v>55636.3</v>
      </c>
      <c r="M407" t="n">
        <v>1</v>
      </c>
      <c r="O407">
        <f>IF($M407=1,$L407,"")</f>
        <v/>
      </c>
      <c r="P407">
        <f>IF($M407=0,$L407,"")</f>
        <v/>
      </c>
      <c r="R407">
        <f t="array" ref="R407">IFERROR(INDEX($L$2:$L$501,SMALL(IF($M$2:$M$501=1,ROW($M$2:$M$501)-1),ROW()-1)),"")</f>
        <v/>
      </c>
      <c r="S407">
        <f t="array" ref="S407">IFERROR(INDEX($L$2:$L$501,SMALL(IF($M$2:$M$501=0,ROW($M$2:$M$501)-1),ROW()-1)),"")</f>
        <v/>
      </c>
      <c r="U407">
        <f t="array" ref="U407">IFERROR(INDEX($C$2:$C$501,SMALL(IF($D$2:$D$501="France",ROW($D$2:$D$501)-1),ROW()-1)),"")</f>
        <v/>
      </c>
      <c r="V407">
        <f t="array" ref="V407">IFERROR(INDEX($C$2:$C$501,SMALL(IF($D$2:$D$501="Germany",ROW($D$2:$D$501)-1),ROW()-1)),"")</f>
        <v/>
      </c>
      <c r="W407">
        <f t="array" ref="W407">IFERROR(INDEX($C$2:$C$501,SMALL(IF($D$2:$D$501="Spain",ROW($D$2:$D$501)-1),ROW()-1)),"")</f>
        <v/>
      </c>
    </row>
    <row r="408">
      <c r="A408" t="n">
        <v>407</v>
      </c>
      <c r="B408" t="inlineStr">
        <is>
          <t>Williams</t>
        </is>
      </c>
      <c r="C408" t="n">
        <v>430</v>
      </c>
      <c r="D408" t="inlineStr">
        <is>
          <t>Germany</t>
        </is>
      </c>
      <c r="E408" t="inlineStr">
        <is>
          <t>Female</t>
        </is>
      </c>
      <c r="F408" t="n">
        <v>35</v>
      </c>
      <c r="G408" t="n">
        <v>2</v>
      </c>
      <c r="H408" t="n">
        <v>245176.21</v>
      </c>
      <c r="I408" t="n">
        <v>1</v>
      </c>
      <c r="J408" t="n">
        <v>0</v>
      </c>
      <c r="K408" t="n">
        <v>1</v>
      </c>
      <c r="L408" t="n">
        <v>35708.43</v>
      </c>
      <c r="M408" t="n">
        <v>1</v>
      </c>
      <c r="O408">
        <f>IF($M408=1,$L408,"")</f>
        <v/>
      </c>
      <c r="P408">
        <f>IF($M408=0,$L408,"")</f>
        <v/>
      </c>
      <c r="R408">
        <f t="array" ref="R408">IFERROR(INDEX($L$2:$L$501,SMALL(IF($M$2:$M$501=1,ROW($M$2:$M$501)-1),ROW()-1)),"")</f>
        <v/>
      </c>
      <c r="S408">
        <f t="array" ref="S408">IFERROR(INDEX($L$2:$L$501,SMALL(IF($M$2:$M$501=0,ROW($M$2:$M$501)-1),ROW()-1)),"")</f>
        <v/>
      </c>
      <c r="U408">
        <f t="array" ref="U408">IFERROR(INDEX($C$2:$C$501,SMALL(IF($D$2:$D$501="France",ROW($D$2:$D$501)-1),ROW()-1)),"")</f>
        <v/>
      </c>
      <c r="V408">
        <f t="array" ref="V408">IFERROR(INDEX($C$2:$C$501,SMALL(IF($D$2:$D$501="Germany",ROW($D$2:$D$501)-1),ROW()-1)),"")</f>
        <v/>
      </c>
      <c r="W408">
        <f t="array" ref="W408">IFERROR(INDEX($C$2:$C$501,SMALL(IF($D$2:$D$501="Spain",ROW($D$2:$D$501)-1),ROW()-1)),"")</f>
        <v/>
      </c>
    </row>
    <row r="409">
      <c r="A409" t="n">
        <v>408</v>
      </c>
      <c r="B409" t="inlineStr">
        <is>
          <t>Johnson</t>
        </is>
      </c>
      <c r="C409" t="n">
        <v>505</v>
      </c>
      <c r="D409" t="inlineStr">
        <is>
          <t>France</t>
        </is>
      </c>
      <c r="E409" t="inlineStr">
        <is>
          <t>Male</t>
        </is>
      </c>
      <c r="F409" t="n">
        <v>49</v>
      </c>
      <c r="G409" t="n">
        <v>7</v>
      </c>
      <c r="H409" t="n">
        <v>83107.39</v>
      </c>
      <c r="I409" t="n">
        <v>3</v>
      </c>
      <c r="J409" t="n">
        <v>0</v>
      </c>
      <c r="K409" t="n">
        <v>1</v>
      </c>
      <c r="L409" t="n">
        <v>41989.11</v>
      </c>
      <c r="M409" t="n">
        <v>0</v>
      </c>
      <c r="O409">
        <f>IF($M409=1,$L409,"")</f>
        <v/>
      </c>
      <c r="P409">
        <f>IF($M409=0,$L409,"")</f>
        <v/>
      </c>
      <c r="R409">
        <f t="array" ref="R409">IFERROR(INDEX($L$2:$L$501,SMALL(IF($M$2:$M$501=1,ROW($M$2:$M$501)-1),ROW()-1)),"")</f>
        <v/>
      </c>
      <c r="S409">
        <f t="array" ref="S409">IFERROR(INDEX($L$2:$L$501,SMALL(IF($M$2:$M$501=0,ROW($M$2:$M$501)-1),ROW()-1)),"")</f>
        <v/>
      </c>
      <c r="U409">
        <f t="array" ref="U409">IFERROR(INDEX($C$2:$C$501,SMALL(IF($D$2:$D$501="France",ROW($D$2:$D$501)-1),ROW()-1)),"")</f>
        <v/>
      </c>
      <c r="V409">
        <f t="array" ref="V409">IFERROR(INDEX($C$2:$C$501,SMALL(IF($D$2:$D$501="Germany",ROW($D$2:$D$501)-1),ROW()-1)),"")</f>
        <v/>
      </c>
      <c r="W409">
        <f t="array" ref="W409">IFERROR(INDEX($C$2:$C$501,SMALL(IF($D$2:$D$501="Spain",ROW($D$2:$D$501)-1),ROW()-1)),"")</f>
        <v/>
      </c>
    </row>
    <row r="410">
      <c r="A410" t="n">
        <v>409</v>
      </c>
      <c r="B410" t="inlineStr">
        <is>
          <t>Williams</t>
        </is>
      </c>
      <c r="C410" t="n">
        <v>397</v>
      </c>
      <c r="D410" t="inlineStr">
        <is>
          <t>France</t>
        </is>
      </c>
      <c r="E410" t="inlineStr">
        <is>
          <t>Male</t>
        </is>
      </c>
      <c r="F410" t="n">
        <v>49</v>
      </c>
      <c r="G410" t="n">
        <v>10</v>
      </c>
      <c r="H410" t="n">
        <v>232252.83</v>
      </c>
      <c r="I410" t="n">
        <v>2</v>
      </c>
      <c r="J410" t="n">
        <v>0</v>
      </c>
      <c r="K410" t="n">
        <v>1</v>
      </c>
      <c r="L410" t="n">
        <v>44531.43</v>
      </c>
      <c r="M410" t="n">
        <v>0</v>
      </c>
      <c r="O410">
        <f>IF($M410=1,$L410,"")</f>
        <v/>
      </c>
      <c r="P410">
        <f>IF($M410=0,$L410,"")</f>
        <v/>
      </c>
      <c r="R410">
        <f t="array" ref="R410">IFERROR(INDEX($L$2:$L$501,SMALL(IF($M$2:$M$501=1,ROW($M$2:$M$501)-1),ROW()-1)),"")</f>
        <v/>
      </c>
      <c r="S410">
        <f t="array" ref="S410">IFERROR(INDEX($L$2:$L$501,SMALL(IF($M$2:$M$501=0,ROW($M$2:$M$501)-1),ROW()-1)),"")</f>
        <v/>
      </c>
      <c r="U410">
        <f t="array" ref="U410">IFERROR(INDEX($C$2:$C$501,SMALL(IF($D$2:$D$501="France",ROW($D$2:$D$501)-1),ROW()-1)),"")</f>
        <v/>
      </c>
      <c r="V410">
        <f t="array" ref="V410">IFERROR(INDEX($C$2:$C$501,SMALL(IF($D$2:$D$501="Germany",ROW($D$2:$D$501)-1),ROW()-1)),"")</f>
        <v/>
      </c>
      <c r="W410">
        <f t="array" ref="W410">IFERROR(INDEX($C$2:$C$501,SMALL(IF($D$2:$D$501="Spain",ROW($D$2:$D$501)-1),ROW()-1)),"")</f>
        <v/>
      </c>
    </row>
    <row r="411">
      <c r="A411" t="n">
        <v>410</v>
      </c>
      <c r="B411" t="inlineStr">
        <is>
          <t>Johnson</t>
        </is>
      </c>
      <c r="C411" t="n">
        <v>845</v>
      </c>
      <c r="D411" t="inlineStr">
        <is>
          <t>Germany</t>
        </is>
      </c>
      <c r="E411" t="inlineStr">
        <is>
          <t>Female</t>
        </is>
      </c>
      <c r="F411" t="n">
        <v>57</v>
      </c>
      <c r="G411" t="n">
        <v>3</v>
      </c>
      <c r="H411" t="n">
        <v>236890.08</v>
      </c>
      <c r="I411" t="n">
        <v>4</v>
      </c>
      <c r="J411" t="n">
        <v>0</v>
      </c>
      <c r="K411" t="n">
        <v>0</v>
      </c>
      <c r="L411" t="n">
        <v>67984.02</v>
      </c>
      <c r="M411" t="n">
        <v>1</v>
      </c>
      <c r="O411">
        <f>IF($M411=1,$L411,"")</f>
        <v/>
      </c>
      <c r="P411">
        <f>IF($M411=0,$L411,"")</f>
        <v/>
      </c>
      <c r="R411">
        <f t="array" ref="R411">IFERROR(INDEX($L$2:$L$501,SMALL(IF($M$2:$M$501=1,ROW($M$2:$M$501)-1),ROW()-1)),"")</f>
        <v/>
      </c>
      <c r="S411">
        <f t="array" ref="S411">IFERROR(INDEX($L$2:$L$501,SMALL(IF($M$2:$M$501=0,ROW($M$2:$M$501)-1),ROW()-1)),"")</f>
        <v/>
      </c>
      <c r="U411">
        <f t="array" ref="U411">IFERROR(INDEX($C$2:$C$501,SMALL(IF($D$2:$D$501="France",ROW($D$2:$D$501)-1),ROW()-1)),"")</f>
        <v/>
      </c>
      <c r="V411">
        <f t="array" ref="V411">IFERROR(INDEX($C$2:$C$501,SMALL(IF($D$2:$D$501="Germany",ROW($D$2:$D$501)-1),ROW()-1)),"")</f>
        <v/>
      </c>
      <c r="W411">
        <f t="array" ref="W411">IFERROR(INDEX($C$2:$C$501,SMALL(IF($D$2:$D$501="Spain",ROW($D$2:$D$501)-1),ROW()-1)),"")</f>
        <v/>
      </c>
    </row>
    <row r="412">
      <c r="A412" t="n">
        <v>411</v>
      </c>
      <c r="B412" t="inlineStr">
        <is>
          <t>Jones</t>
        </is>
      </c>
      <c r="C412" t="n">
        <v>464</v>
      </c>
      <c r="D412" t="inlineStr">
        <is>
          <t>Spain</t>
        </is>
      </c>
      <c r="E412" t="inlineStr">
        <is>
          <t>Female</t>
        </is>
      </c>
      <c r="F412" t="n">
        <v>68</v>
      </c>
      <c r="G412" t="n">
        <v>7</v>
      </c>
      <c r="H412" t="n">
        <v>162045.57</v>
      </c>
      <c r="I412" t="n">
        <v>1</v>
      </c>
      <c r="J412" t="n">
        <v>0</v>
      </c>
      <c r="K412" t="n">
        <v>0</v>
      </c>
      <c r="L412" t="n">
        <v>87532.67</v>
      </c>
      <c r="M412" t="n">
        <v>1</v>
      </c>
      <c r="O412">
        <f>IF($M412=1,$L412,"")</f>
        <v/>
      </c>
      <c r="P412">
        <f>IF($M412=0,$L412,"")</f>
        <v/>
      </c>
      <c r="R412">
        <f t="array" ref="R412">IFERROR(INDEX($L$2:$L$501,SMALL(IF($M$2:$M$501=1,ROW($M$2:$M$501)-1),ROW()-1)),"")</f>
        <v/>
      </c>
      <c r="S412">
        <f t="array" ref="S412">IFERROR(INDEX($L$2:$L$501,SMALL(IF($M$2:$M$501=0,ROW($M$2:$M$501)-1),ROW()-1)),"")</f>
        <v/>
      </c>
      <c r="U412">
        <f t="array" ref="U412">IFERROR(INDEX($C$2:$C$501,SMALL(IF($D$2:$D$501="France",ROW($D$2:$D$501)-1),ROW()-1)),"")</f>
        <v/>
      </c>
      <c r="V412">
        <f t="array" ref="V412">IFERROR(INDEX($C$2:$C$501,SMALL(IF($D$2:$D$501="Germany",ROW($D$2:$D$501)-1),ROW()-1)),"")</f>
        <v/>
      </c>
      <c r="W412">
        <f t="array" ref="W412">IFERROR(INDEX($C$2:$C$501,SMALL(IF($D$2:$D$501="Spain",ROW($D$2:$D$501)-1),ROW()-1)),"")</f>
        <v/>
      </c>
    </row>
    <row r="413">
      <c r="A413" t="n">
        <v>412</v>
      </c>
      <c r="B413" t="inlineStr">
        <is>
          <t>Brown</t>
        </is>
      </c>
      <c r="C413" t="n">
        <v>361</v>
      </c>
      <c r="D413" t="inlineStr">
        <is>
          <t>France</t>
        </is>
      </c>
      <c r="E413" t="inlineStr">
        <is>
          <t>Female</t>
        </is>
      </c>
      <c r="F413" t="n">
        <v>56</v>
      </c>
      <c r="G413" t="n">
        <v>3</v>
      </c>
      <c r="H413" t="n">
        <v>166147.69</v>
      </c>
      <c r="I413" t="n">
        <v>2</v>
      </c>
      <c r="J413" t="n">
        <v>1</v>
      </c>
      <c r="K413" t="n">
        <v>0</v>
      </c>
      <c r="L413" t="n">
        <v>56454.41</v>
      </c>
      <c r="M413" t="n">
        <v>1</v>
      </c>
      <c r="O413">
        <f>IF($M413=1,$L413,"")</f>
        <v/>
      </c>
      <c r="P413">
        <f>IF($M413=0,$L413,"")</f>
        <v/>
      </c>
      <c r="R413">
        <f t="array" ref="R413">IFERROR(INDEX($L$2:$L$501,SMALL(IF($M$2:$M$501=1,ROW($M$2:$M$501)-1),ROW()-1)),"")</f>
        <v/>
      </c>
      <c r="S413">
        <f t="array" ref="S413">IFERROR(INDEX($L$2:$L$501,SMALL(IF($M$2:$M$501=0,ROW($M$2:$M$501)-1),ROW()-1)),"")</f>
        <v/>
      </c>
      <c r="U413">
        <f t="array" ref="U413">IFERROR(INDEX($C$2:$C$501,SMALL(IF($D$2:$D$501="France",ROW($D$2:$D$501)-1),ROW()-1)),"")</f>
        <v/>
      </c>
      <c r="V413">
        <f t="array" ref="V413">IFERROR(INDEX($C$2:$C$501,SMALL(IF($D$2:$D$501="Germany",ROW($D$2:$D$501)-1),ROW()-1)),"")</f>
        <v/>
      </c>
      <c r="W413">
        <f t="array" ref="W413">IFERROR(INDEX($C$2:$C$501,SMALL(IF($D$2:$D$501="Spain",ROW($D$2:$D$501)-1),ROW()-1)),"")</f>
        <v/>
      </c>
    </row>
    <row r="414">
      <c r="A414" t="n">
        <v>413</v>
      </c>
      <c r="B414" t="inlineStr">
        <is>
          <t>Johnson</t>
        </is>
      </c>
      <c r="C414" t="n">
        <v>821</v>
      </c>
      <c r="D414" t="inlineStr">
        <is>
          <t>Spain</t>
        </is>
      </c>
      <c r="E414" t="inlineStr">
        <is>
          <t>Female</t>
        </is>
      </c>
      <c r="F414" t="n">
        <v>86</v>
      </c>
      <c r="G414" t="n">
        <v>1</v>
      </c>
      <c r="H414" t="n">
        <v>89639.64</v>
      </c>
      <c r="I414" t="n">
        <v>3</v>
      </c>
      <c r="J414" t="n">
        <v>1</v>
      </c>
      <c r="K414" t="n">
        <v>0</v>
      </c>
      <c r="L414" t="n">
        <v>125590.02</v>
      </c>
      <c r="M414" t="n">
        <v>1</v>
      </c>
      <c r="O414">
        <f>IF($M414=1,$L414,"")</f>
        <v/>
      </c>
      <c r="P414">
        <f>IF($M414=0,$L414,"")</f>
        <v/>
      </c>
      <c r="R414">
        <f t="array" ref="R414">IFERROR(INDEX($L$2:$L$501,SMALL(IF($M$2:$M$501=1,ROW($M$2:$M$501)-1),ROW()-1)),"")</f>
        <v/>
      </c>
      <c r="S414">
        <f t="array" ref="S414">IFERROR(INDEX($L$2:$L$501,SMALL(IF($M$2:$M$501=0,ROW($M$2:$M$501)-1),ROW()-1)),"")</f>
        <v/>
      </c>
      <c r="U414">
        <f t="array" ref="U414">IFERROR(INDEX($C$2:$C$501,SMALL(IF($D$2:$D$501="France",ROW($D$2:$D$501)-1),ROW()-1)),"")</f>
        <v/>
      </c>
      <c r="V414">
        <f t="array" ref="V414">IFERROR(INDEX($C$2:$C$501,SMALL(IF($D$2:$D$501="Germany",ROW($D$2:$D$501)-1),ROW()-1)),"")</f>
        <v/>
      </c>
      <c r="W414">
        <f t="array" ref="W414">IFERROR(INDEX($C$2:$C$501,SMALL(IF($D$2:$D$501="Spain",ROW($D$2:$D$501)-1),ROW()-1)),"")</f>
        <v/>
      </c>
    </row>
    <row r="415">
      <c r="A415" t="n">
        <v>414</v>
      </c>
      <c r="B415" t="inlineStr">
        <is>
          <t>Johnson</t>
        </is>
      </c>
      <c r="C415" t="n">
        <v>684</v>
      </c>
      <c r="D415" t="inlineStr">
        <is>
          <t>Germany</t>
        </is>
      </c>
      <c r="E415" t="inlineStr">
        <is>
          <t>Female</t>
        </is>
      </c>
      <c r="F415" t="n">
        <v>57</v>
      </c>
      <c r="G415" t="n">
        <v>4</v>
      </c>
      <c r="H415" t="n">
        <v>186325.98</v>
      </c>
      <c r="I415" t="n">
        <v>4</v>
      </c>
      <c r="J415" t="n">
        <v>0</v>
      </c>
      <c r="K415" t="n">
        <v>0</v>
      </c>
      <c r="L415" t="n">
        <v>76620.28999999999</v>
      </c>
      <c r="M415" t="n">
        <v>0</v>
      </c>
      <c r="O415">
        <f>IF($M415=1,$L415,"")</f>
        <v/>
      </c>
      <c r="P415">
        <f>IF($M415=0,$L415,"")</f>
        <v/>
      </c>
      <c r="R415">
        <f t="array" ref="R415">IFERROR(INDEX($L$2:$L$501,SMALL(IF($M$2:$M$501=1,ROW($M$2:$M$501)-1),ROW()-1)),"")</f>
        <v/>
      </c>
      <c r="S415">
        <f t="array" ref="S415">IFERROR(INDEX($L$2:$L$501,SMALL(IF($M$2:$M$501=0,ROW($M$2:$M$501)-1),ROW()-1)),"")</f>
        <v/>
      </c>
      <c r="U415">
        <f t="array" ref="U415">IFERROR(INDEX($C$2:$C$501,SMALL(IF($D$2:$D$501="France",ROW($D$2:$D$501)-1),ROW()-1)),"")</f>
        <v/>
      </c>
      <c r="V415">
        <f t="array" ref="V415">IFERROR(INDEX($C$2:$C$501,SMALL(IF($D$2:$D$501="Germany",ROW($D$2:$D$501)-1),ROW()-1)),"")</f>
        <v/>
      </c>
      <c r="W415">
        <f t="array" ref="W415">IFERROR(INDEX($C$2:$C$501,SMALL(IF($D$2:$D$501="Spain",ROW($D$2:$D$501)-1),ROW()-1)),"")</f>
        <v/>
      </c>
    </row>
    <row r="416">
      <c r="A416" t="n">
        <v>415</v>
      </c>
      <c r="B416" t="inlineStr">
        <is>
          <t>Smith</t>
        </is>
      </c>
      <c r="C416" t="n">
        <v>837</v>
      </c>
      <c r="D416" t="inlineStr">
        <is>
          <t>France</t>
        </is>
      </c>
      <c r="E416" t="inlineStr">
        <is>
          <t>Male</t>
        </is>
      </c>
      <c r="F416" t="n">
        <v>31</v>
      </c>
      <c r="G416" t="n">
        <v>5</v>
      </c>
      <c r="H416" t="n">
        <v>150640.24</v>
      </c>
      <c r="I416" t="n">
        <v>4</v>
      </c>
      <c r="J416" t="n">
        <v>0</v>
      </c>
      <c r="K416" t="n">
        <v>0</v>
      </c>
      <c r="L416" t="n">
        <v>52816.7</v>
      </c>
      <c r="M416" t="n">
        <v>1</v>
      </c>
      <c r="O416">
        <f>IF($M416=1,$L416,"")</f>
        <v/>
      </c>
      <c r="P416">
        <f>IF($M416=0,$L416,"")</f>
        <v/>
      </c>
      <c r="R416">
        <f t="array" ref="R416">IFERROR(INDEX($L$2:$L$501,SMALL(IF($M$2:$M$501=1,ROW($M$2:$M$501)-1),ROW()-1)),"")</f>
        <v/>
      </c>
      <c r="S416">
        <f t="array" ref="S416">IFERROR(INDEX($L$2:$L$501,SMALL(IF($M$2:$M$501=0,ROW($M$2:$M$501)-1),ROW()-1)),"")</f>
        <v/>
      </c>
      <c r="U416">
        <f t="array" ref="U416">IFERROR(INDEX($C$2:$C$501,SMALL(IF($D$2:$D$501="France",ROW($D$2:$D$501)-1),ROW()-1)),"")</f>
        <v/>
      </c>
      <c r="V416">
        <f t="array" ref="V416">IFERROR(INDEX($C$2:$C$501,SMALL(IF($D$2:$D$501="Germany",ROW($D$2:$D$501)-1),ROW()-1)),"")</f>
        <v/>
      </c>
      <c r="W416">
        <f t="array" ref="W416">IFERROR(INDEX($C$2:$C$501,SMALL(IF($D$2:$D$501="Spain",ROW($D$2:$D$501)-1),ROW()-1)),"")</f>
        <v/>
      </c>
    </row>
    <row r="417">
      <c r="A417" t="n">
        <v>416</v>
      </c>
      <c r="B417" t="inlineStr">
        <is>
          <t>Wilson</t>
        </is>
      </c>
      <c r="C417" t="n">
        <v>636</v>
      </c>
      <c r="D417" t="inlineStr">
        <is>
          <t>France</t>
        </is>
      </c>
      <c r="E417" t="inlineStr">
        <is>
          <t>Female</t>
        </is>
      </c>
      <c r="F417" t="n">
        <v>53</v>
      </c>
      <c r="G417" t="n">
        <v>3</v>
      </c>
      <c r="H417" t="n">
        <v>196579.74</v>
      </c>
      <c r="I417" t="n">
        <v>2</v>
      </c>
      <c r="J417" t="n">
        <v>1</v>
      </c>
      <c r="K417" t="n">
        <v>0</v>
      </c>
      <c r="L417" t="n">
        <v>58389.15</v>
      </c>
      <c r="M417" t="n">
        <v>1</v>
      </c>
      <c r="O417">
        <f>IF($M417=1,$L417,"")</f>
        <v/>
      </c>
      <c r="P417">
        <f>IF($M417=0,$L417,"")</f>
        <v/>
      </c>
      <c r="R417">
        <f t="array" ref="R417">IFERROR(INDEX($L$2:$L$501,SMALL(IF($M$2:$M$501=1,ROW($M$2:$M$501)-1),ROW()-1)),"")</f>
        <v/>
      </c>
      <c r="S417">
        <f t="array" ref="S417">IFERROR(INDEX($L$2:$L$501,SMALL(IF($M$2:$M$501=0,ROW($M$2:$M$501)-1),ROW()-1)),"")</f>
        <v/>
      </c>
      <c r="U417">
        <f t="array" ref="U417">IFERROR(INDEX($C$2:$C$501,SMALL(IF($D$2:$D$501="France",ROW($D$2:$D$501)-1),ROW()-1)),"")</f>
        <v/>
      </c>
      <c r="V417">
        <f t="array" ref="V417">IFERROR(INDEX($C$2:$C$501,SMALL(IF($D$2:$D$501="Germany",ROW($D$2:$D$501)-1),ROW()-1)),"")</f>
        <v/>
      </c>
      <c r="W417">
        <f t="array" ref="W417">IFERROR(INDEX($C$2:$C$501,SMALL(IF($D$2:$D$501="Spain",ROW($D$2:$D$501)-1),ROW()-1)),"")</f>
        <v/>
      </c>
    </row>
    <row r="418">
      <c r="A418" t="n">
        <v>417</v>
      </c>
      <c r="B418" t="inlineStr">
        <is>
          <t>Moore</t>
        </is>
      </c>
      <c r="C418" t="n">
        <v>440</v>
      </c>
      <c r="D418" t="inlineStr">
        <is>
          <t>France</t>
        </is>
      </c>
      <c r="E418" t="inlineStr">
        <is>
          <t>Male</t>
        </is>
      </c>
      <c r="F418" t="n">
        <v>29</v>
      </c>
      <c r="G418" t="n">
        <v>2</v>
      </c>
      <c r="H418" t="n">
        <v>38378.4</v>
      </c>
      <c r="I418" t="n">
        <v>2</v>
      </c>
      <c r="J418" t="n">
        <v>0</v>
      </c>
      <c r="K418" t="n">
        <v>0</v>
      </c>
      <c r="L418" t="n">
        <v>148498.85</v>
      </c>
      <c r="M418" t="n">
        <v>1</v>
      </c>
      <c r="O418">
        <f>IF($M418=1,$L418,"")</f>
        <v/>
      </c>
      <c r="P418">
        <f>IF($M418=0,$L418,"")</f>
        <v/>
      </c>
      <c r="R418">
        <f t="array" ref="R418">IFERROR(INDEX($L$2:$L$501,SMALL(IF($M$2:$M$501=1,ROW($M$2:$M$501)-1),ROW()-1)),"")</f>
        <v/>
      </c>
      <c r="S418">
        <f t="array" ref="S418">IFERROR(INDEX($L$2:$L$501,SMALL(IF($M$2:$M$501=0,ROW($M$2:$M$501)-1),ROW()-1)),"")</f>
        <v/>
      </c>
      <c r="U418">
        <f t="array" ref="U418">IFERROR(INDEX($C$2:$C$501,SMALL(IF($D$2:$D$501="France",ROW($D$2:$D$501)-1),ROW()-1)),"")</f>
        <v/>
      </c>
      <c r="V418">
        <f t="array" ref="V418">IFERROR(INDEX($C$2:$C$501,SMALL(IF($D$2:$D$501="Germany",ROW($D$2:$D$501)-1),ROW()-1)),"")</f>
        <v/>
      </c>
      <c r="W418">
        <f t="array" ref="W418">IFERROR(INDEX($C$2:$C$501,SMALL(IF($D$2:$D$501="Spain",ROW($D$2:$D$501)-1),ROW()-1)),"")</f>
        <v/>
      </c>
    </row>
    <row r="419">
      <c r="A419" t="n">
        <v>418</v>
      </c>
      <c r="B419" t="inlineStr">
        <is>
          <t>Brown</t>
        </is>
      </c>
      <c r="C419" t="n">
        <v>640</v>
      </c>
      <c r="D419" t="inlineStr">
        <is>
          <t>France</t>
        </is>
      </c>
      <c r="E419" t="inlineStr">
        <is>
          <t>Female</t>
        </is>
      </c>
      <c r="F419" t="n">
        <v>72</v>
      </c>
      <c r="G419" t="n">
        <v>1</v>
      </c>
      <c r="H419" t="n">
        <v>203648.16</v>
      </c>
      <c r="I419" t="n">
        <v>2</v>
      </c>
      <c r="J419" t="n">
        <v>0</v>
      </c>
      <c r="K419" t="n">
        <v>0</v>
      </c>
      <c r="L419" t="n">
        <v>102614.36</v>
      </c>
      <c r="M419" t="n">
        <v>1</v>
      </c>
      <c r="O419">
        <f>IF($M419=1,$L419,"")</f>
        <v/>
      </c>
      <c r="P419">
        <f>IF($M419=0,$L419,"")</f>
        <v/>
      </c>
      <c r="R419">
        <f t="array" ref="R419">IFERROR(INDEX($L$2:$L$501,SMALL(IF($M$2:$M$501=1,ROW($M$2:$M$501)-1),ROW()-1)),"")</f>
        <v/>
      </c>
      <c r="S419">
        <f t="array" ref="S419">IFERROR(INDEX($L$2:$L$501,SMALL(IF($M$2:$M$501=0,ROW($M$2:$M$501)-1),ROW()-1)),"")</f>
        <v/>
      </c>
      <c r="U419">
        <f t="array" ref="U419">IFERROR(INDEX($C$2:$C$501,SMALL(IF($D$2:$D$501="France",ROW($D$2:$D$501)-1),ROW()-1)),"")</f>
        <v/>
      </c>
      <c r="V419">
        <f t="array" ref="V419">IFERROR(INDEX($C$2:$C$501,SMALL(IF($D$2:$D$501="Germany",ROW($D$2:$D$501)-1),ROW()-1)),"")</f>
        <v/>
      </c>
      <c r="W419">
        <f t="array" ref="W419">IFERROR(INDEX($C$2:$C$501,SMALL(IF($D$2:$D$501="Spain",ROW($D$2:$D$501)-1),ROW()-1)),"")</f>
        <v/>
      </c>
    </row>
    <row r="420">
      <c r="A420" t="n">
        <v>419</v>
      </c>
      <c r="B420" t="inlineStr">
        <is>
          <t>Jones</t>
        </is>
      </c>
      <c r="C420" t="n">
        <v>404</v>
      </c>
      <c r="D420" t="inlineStr">
        <is>
          <t>France</t>
        </is>
      </c>
      <c r="E420" t="inlineStr">
        <is>
          <t>Female</t>
        </is>
      </c>
      <c r="F420" t="n">
        <v>54</v>
      </c>
      <c r="G420" t="n">
        <v>10</v>
      </c>
      <c r="H420" t="n">
        <v>180845.4</v>
      </c>
      <c r="I420" t="n">
        <v>1</v>
      </c>
      <c r="J420" t="n">
        <v>0</v>
      </c>
      <c r="K420" t="n">
        <v>1</v>
      </c>
      <c r="L420" t="n">
        <v>67354.75999999999</v>
      </c>
      <c r="M420" t="n">
        <v>1</v>
      </c>
      <c r="O420">
        <f>IF($M420=1,$L420,"")</f>
        <v/>
      </c>
      <c r="P420">
        <f>IF($M420=0,$L420,"")</f>
        <v/>
      </c>
      <c r="R420">
        <f t="array" ref="R420">IFERROR(INDEX($L$2:$L$501,SMALL(IF($M$2:$M$501=1,ROW($M$2:$M$501)-1),ROW()-1)),"")</f>
        <v/>
      </c>
      <c r="S420">
        <f t="array" ref="S420">IFERROR(INDEX($L$2:$L$501,SMALL(IF($M$2:$M$501=0,ROW($M$2:$M$501)-1),ROW()-1)),"")</f>
        <v/>
      </c>
      <c r="U420">
        <f t="array" ref="U420">IFERROR(INDEX($C$2:$C$501,SMALL(IF($D$2:$D$501="France",ROW($D$2:$D$501)-1),ROW()-1)),"")</f>
        <v/>
      </c>
      <c r="V420">
        <f t="array" ref="V420">IFERROR(INDEX($C$2:$C$501,SMALL(IF($D$2:$D$501="Germany",ROW($D$2:$D$501)-1),ROW()-1)),"")</f>
        <v/>
      </c>
      <c r="W420">
        <f t="array" ref="W420">IFERROR(INDEX($C$2:$C$501,SMALL(IF($D$2:$D$501="Spain",ROW($D$2:$D$501)-1),ROW()-1)),"")</f>
        <v/>
      </c>
    </row>
    <row r="421">
      <c r="A421" t="n">
        <v>420</v>
      </c>
      <c r="B421" t="inlineStr">
        <is>
          <t>Davis</t>
        </is>
      </c>
      <c r="C421" t="n">
        <v>687</v>
      </c>
      <c r="D421" t="inlineStr">
        <is>
          <t>France</t>
        </is>
      </c>
      <c r="E421" t="inlineStr">
        <is>
          <t>Female</t>
        </is>
      </c>
      <c r="F421" t="n">
        <v>69</v>
      </c>
      <c r="G421" t="n">
        <v>3</v>
      </c>
      <c r="H421" t="n">
        <v>136486.33</v>
      </c>
      <c r="I421" t="n">
        <v>4</v>
      </c>
      <c r="J421" t="n">
        <v>0</v>
      </c>
      <c r="K421" t="n">
        <v>0</v>
      </c>
      <c r="L421" t="n">
        <v>135558.76</v>
      </c>
      <c r="M421" t="n">
        <v>0</v>
      </c>
      <c r="O421">
        <f>IF($M421=1,$L421,"")</f>
        <v/>
      </c>
      <c r="P421">
        <f>IF($M421=0,$L421,"")</f>
        <v/>
      </c>
      <c r="R421">
        <f t="array" ref="R421">IFERROR(INDEX($L$2:$L$501,SMALL(IF($M$2:$M$501=1,ROW($M$2:$M$501)-1),ROW()-1)),"")</f>
        <v/>
      </c>
      <c r="S421">
        <f t="array" ref="S421">IFERROR(INDEX($L$2:$L$501,SMALL(IF($M$2:$M$501=0,ROW($M$2:$M$501)-1),ROW()-1)),"")</f>
        <v/>
      </c>
      <c r="U421">
        <f t="array" ref="U421">IFERROR(INDEX($C$2:$C$501,SMALL(IF($D$2:$D$501="France",ROW($D$2:$D$501)-1),ROW()-1)),"")</f>
        <v/>
      </c>
      <c r="V421">
        <f t="array" ref="V421">IFERROR(INDEX($C$2:$C$501,SMALL(IF($D$2:$D$501="Germany",ROW($D$2:$D$501)-1),ROW()-1)),"")</f>
        <v/>
      </c>
      <c r="W421">
        <f t="array" ref="W421">IFERROR(INDEX($C$2:$C$501,SMALL(IF($D$2:$D$501="Spain",ROW($D$2:$D$501)-1),ROW()-1)),"")</f>
        <v/>
      </c>
    </row>
    <row r="422">
      <c r="A422" t="n">
        <v>421</v>
      </c>
      <c r="B422" t="inlineStr">
        <is>
          <t>Miller</t>
        </is>
      </c>
      <c r="C422" t="n">
        <v>513</v>
      </c>
      <c r="D422" t="inlineStr">
        <is>
          <t>Germany</t>
        </is>
      </c>
      <c r="E422" t="inlineStr">
        <is>
          <t>Male</t>
        </is>
      </c>
      <c r="F422" t="n">
        <v>52</v>
      </c>
      <c r="G422" t="n">
        <v>4</v>
      </c>
      <c r="H422" t="n">
        <v>64929.13</v>
      </c>
      <c r="I422" t="n">
        <v>2</v>
      </c>
      <c r="J422" t="n">
        <v>1</v>
      </c>
      <c r="K422" t="n">
        <v>1</v>
      </c>
      <c r="L422" t="n">
        <v>117045.7</v>
      </c>
      <c r="M422" t="n">
        <v>0</v>
      </c>
      <c r="O422">
        <f>IF($M422=1,$L422,"")</f>
        <v/>
      </c>
      <c r="P422">
        <f>IF($M422=0,$L422,"")</f>
        <v/>
      </c>
      <c r="R422">
        <f t="array" ref="R422">IFERROR(INDEX($L$2:$L$501,SMALL(IF($M$2:$M$501=1,ROW($M$2:$M$501)-1),ROW()-1)),"")</f>
        <v/>
      </c>
      <c r="S422">
        <f t="array" ref="S422">IFERROR(INDEX($L$2:$L$501,SMALL(IF($M$2:$M$501=0,ROW($M$2:$M$501)-1),ROW()-1)),"")</f>
        <v/>
      </c>
      <c r="U422">
        <f t="array" ref="U422">IFERROR(INDEX($C$2:$C$501,SMALL(IF($D$2:$D$501="France",ROW($D$2:$D$501)-1),ROW()-1)),"")</f>
        <v/>
      </c>
      <c r="V422">
        <f t="array" ref="V422">IFERROR(INDEX($C$2:$C$501,SMALL(IF($D$2:$D$501="Germany",ROW($D$2:$D$501)-1),ROW()-1)),"")</f>
        <v/>
      </c>
      <c r="W422">
        <f t="array" ref="W422">IFERROR(INDEX($C$2:$C$501,SMALL(IF($D$2:$D$501="Spain",ROW($D$2:$D$501)-1),ROW()-1)),"")</f>
        <v/>
      </c>
    </row>
    <row r="423">
      <c r="A423" t="n">
        <v>422</v>
      </c>
      <c r="B423" t="inlineStr">
        <is>
          <t>Jones</t>
        </is>
      </c>
      <c r="C423" t="n">
        <v>421</v>
      </c>
      <c r="D423" t="inlineStr">
        <is>
          <t>France</t>
        </is>
      </c>
      <c r="E423" t="inlineStr">
        <is>
          <t>Female</t>
        </is>
      </c>
      <c r="F423" t="n">
        <v>76</v>
      </c>
      <c r="G423" t="n">
        <v>4</v>
      </c>
      <c r="H423" t="n">
        <v>24418.55</v>
      </c>
      <c r="I423" t="n">
        <v>3</v>
      </c>
      <c r="J423" t="n">
        <v>0</v>
      </c>
      <c r="K423" t="n">
        <v>1</v>
      </c>
      <c r="L423" t="n">
        <v>131045.9</v>
      </c>
      <c r="M423" t="n">
        <v>0</v>
      </c>
      <c r="O423">
        <f>IF($M423=1,$L423,"")</f>
        <v/>
      </c>
      <c r="P423">
        <f>IF($M423=0,$L423,"")</f>
        <v/>
      </c>
      <c r="R423">
        <f t="array" ref="R423">IFERROR(INDEX($L$2:$L$501,SMALL(IF($M$2:$M$501=1,ROW($M$2:$M$501)-1),ROW()-1)),"")</f>
        <v/>
      </c>
      <c r="S423">
        <f t="array" ref="S423">IFERROR(INDEX($L$2:$L$501,SMALL(IF($M$2:$M$501=0,ROW($M$2:$M$501)-1),ROW()-1)),"")</f>
        <v/>
      </c>
      <c r="U423">
        <f t="array" ref="U423">IFERROR(INDEX($C$2:$C$501,SMALL(IF($D$2:$D$501="France",ROW($D$2:$D$501)-1),ROW()-1)),"")</f>
        <v/>
      </c>
      <c r="V423">
        <f t="array" ref="V423">IFERROR(INDEX($C$2:$C$501,SMALL(IF($D$2:$D$501="Germany",ROW($D$2:$D$501)-1),ROW()-1)),"")</f>
        <v/>
      </c>
      <c r="W423">
        <f t="array" ref="W423">IFERROR(INDEX($C$2:$C$501,SMALL(IF($D$2:$D$501="Spain",ROW($D$2:$D$501)-1),ROW()-1)),"")</f>
        <v/>
      </c>
    </row>
    <row r="424">
      <c r="A424" t="n">
        <v>423</v>
      </c>
      <c r="B424" t="inlineStr">
        <is>
          <t>Williams</t>
        </is>
      </c>
      <c r="C424" t="n">
        <v>715</v>
      </c>
      <c r="D424" t="inlineStr">
        <is>
          <t>France</t>
        </is>
      </c>
      <c r="E424" t="inlineStr">
        <is>
          <t>Female</t>
        </is>
      </c>
      <c r="F424" t="n">
        <v>46</v>
      </c>
      <c r="G424" t="n">
        <v>6</v>
      </c>
      <c r="H424" t="n">
        <v>121208.33</v>
      </c>
      <c r="I424" t="n">
        <v>1</v>
      </c>
      <c r="J424" t="n">
        <v>1</v>
      </c>
      <c r="K424" t="n">
        <v>0</v>
      </c>
      <c r="L424" t="n">
        <v>32556.34</v>
      </c>
      <c r="M424" t="n">
        <v>1</v>
      </c>
      <c r="O424">
        <f>IF($M424=1,$L424,"")</f>
        <v/>
      </c>
      <c r="P424">
        <f>IF($M424=0,$L424,"")</f>
        <v/>
      </c>
      <c r="R424">
        <f t="array" ref="R424">IFERROR(INDEX($L$2:$L$501,SMALL(IF($M$2:$M$501=1,ROW($M$2:$M$501)-1),ROW()-1)),"")</f>
        <v/>
      </c>
      <c r="S424">
        <f t="array" ref="S424">IFERROR(INDEX($L$2:$L$501,SMALL(IF($M$2:$M$501=0,ROW($M$2:$M$501)-1),ROW()-1)),"")</f>
        <v/>
      </c>
      <c r="U424">
        <f t="array" ref="U424">IFERROR(INDEX($C$2:$C$501,SMALL(IF($D$2:$D$501="France",ROW($D$2:$D$501)-1),ROW()-1)),"")</f>
        <v/>
      </c>
      <c r="V424">
        <f t="array" ref="V424">IFERROR(INDEX($C$2:$C$501,SMALL(IF($D$2:$D$501="Germany",ROW($D$2:$D$501)-1),ROW()-1)),"")</f>
        <v/>
      </c>
      <c r="W424">
        <f t="array" ref="W424">IFERROR(INDEX($C$2:$C$501,SMALL(IF($D$2:$D$501="Spain",ROW($D$2:$D$501)-1),ROW()-1)),"")</f>
        <v/>
      </c>
    </row>
    <row r="425">
      <c r="A425" t="n">
        <v>424</v>
      </c>
      <c r="B425" t="inlineStr">
        <is>
          <t>Taylor</t>
        </is>
      </c>
      <c r="C425" t="n">
        <v>665</v>
      </c>
      <c r="D425" t="inlineStr">
        <is>
          <t>Germany</t>
        </is>
      </c>
      <c r="E425" t="inlineStr">
        <is>
          <t>Male</t>
        </is>
      </c>
      <c r="F425" t="n">
        <v>27</v>
      </c>
      <c r="G425" t="n">
        <v>9</v>
      </c>
      <c r="H425" t="n">
        <v>36155.39</v>
      </c>
      <c r="I425" t="n">
        <v>3</v>
      </c>
      <c r="J425" t="n">
        <v>0</v>
      </c>
      <c r="K425" t="n">
        <v>0</v>
      </c>
      <c r="L425" t="n">
        <v>122338.51</v>
      </c>
      <c r="M425" t="n">
        <v>1</v>
      </c>
      <c r="O425">
        <f>IF($M425=1,$L425,"")</f>
        <v/>
      </c>
      <c r="P425">
        <f>IF($M425=0,$L425,"")</f>
        <v/>
      </c>
      <c r="R425">
        <f t="array" ref="R425">IFERROR(INDEX($L$2:$L$501,SMALL(IF($M$2:$M$501=1,ROW($M$2:$M$501)-1),ROW()-1)),"")</f>
        <v/>
      </c>
      <c r="S425">
        <f t="array" ref="S425">IFERROR(INDEX($L$2:$L$501,SMALL(IF($M$2:$M$501=0,ROW($M$2:$M$501)-1),ROW()-1)),"")</f>
        <v/>
      </c>
      <c r="U425">
        <f t="array" ref="U425">IFERROR(INDEX($C$2:$C$501,SMALL(IF($D$2:$D$501="France",ROW($D$2:$D$501)-1),ROW()-1)),"")</f>
        <v/>
      </c>
      <c r="V425">
        <f t="array" ref="V425">IFERROR(INDEX($C$2:$C$501,SMALL(IF($D$2:$D$501="Germany",ROW($D$2:$D$501)-1),ROW()-1)),"")</f>
        <v/>
      </c>
      <c r="W425">
        <f t="array" ref="W425">IFERROR(INDEX($C$2:$C$501,SMALL(IF($D$2:$D$501="Spain",ROW($D$2:$D$501)-1),ROW()-1)),"")</f>
        <v/>
      </c>
    </row>
    <row r="426">
      <c r="A426" t="n">
        <v>425</v>
      </c>
      <c r="B426" t="inlineStr">
        <is>
          <t>Moore</t>
        </is>
      </c>
      <c r="C426" t="n">
        <v>462</v>
      </c>
      <c r="D426" t="inlineStr">
        <is>
          <t>France</t>
        </is>
      </c>
      <c r="E426" t="inlineStr">
        <is>
          <t>Male</t>
        </is>
      </c>
      <c r="F426" t="n">
        <v>26</v>
      </c>
      <c r="G426" t="n">
        <v>9</v>
      </c>
      <c r="H426" t="n">
        <v>190443.29</v>
      </c>
      <c r="I426" t="n">
        <v>4</v>
      </c>
      <c r="J426" t="n">
        <v>1</v>
      </c>
      <c r="K426" t="n">
        <v>0</v>
      </c>
      <c r="L426" t="n">
        <v>77215.99000000001</v>
      </c>
      <c r="M426" t="n">
        <v>1</v>
      </c>
      <c r="O426">
        <f>IF($M426=1,$L426,"")</f>
        <v/>
      </c>
      <c r="P426">
        <f>IF($M426=0,$L426,"")</f>
        <v/>
      </c>
      <c r="R426">
        <f t="array" ref="R426">IFERROR(INDEX($L$2:$L$501,SMALL(IF($M$2:$M$501=1,ROW($M$2:$M$501)-1),ROW()-1)),"")</f>
        <v/>
      </c>
      <c r="S426">
        <f t="array" ref="S426">IFERROR(INDEX($L$2:$L$501,SMALL(IF($M$2:$M$501=0,ROW($M$2:$M$501)-1),ROW()-1)),"")</f>
        <v/>
      </c>
      <c r="U426">
        <f t="array" ref="U426">IFERROR(INDEX($C$2:$C$501,SMALL(IF($D$2:$D$501="France",ROW($D$2:$D$501)-1),ROW()-1)),"")</f>
        <v/>
      </c>
      <c r="V426">
        <f t="array" ref="V426">IFERROR(INDEX($C$2:$C$501,SMALL(IF($D$2:$D$501="Germany",ROW($D$2:$D$501)-1),ROW()-1)),"")</f>
        <v/>
      </c>
      <c r="W426">
        <f t="array" ref="W426">IFERROR(INDEX($C$2:$C$501,SMALL(IF($D$2:$D$501="Spain",ROW($D$2:$D$501)-1),ROW()-1)),"")</f>
        <v/>
      </c>
    </row>
    <row r="427">
      <c r="A427" t="n">
        <v>426</v>
      </c>
      <c r="B427" t="inlineStr">
        <is>
          <t>Johnson</t>
        </is>
      </c>
      <c r="C427" t="n">
        <v>771</v>
      </c>
      <c r="D427" t="inlineStr">
        <is>
          <t>France</t>
        </is>
      </c>
      <c r="E427" t="inlineStr">
        <is>
          <t>Female</t>
        </is>
      </c>
      <c r="F427" t="n">
        <v>35</v>
      </c>
      <c r="G427" t="n">
        <v>3</v>
      </c>
      <c r="H427" t="n">
        <v>231139.73</v>
      </c>
      <c r="I427" t="n">
        <v>4</v>
      </c>
      <c r="J427" t="n">
        <v>1</v>
      </c>
      <c r="K427" t="n">
        <v>0</v>
      </c>
      <c r="L427" t="n">
        <v>19540.71</v>
      </c>
      <c r="M427" t="n">
        <v>1</v>
      </c>
      <c r="O427">
        <f>IF($M427=1,$L427,"")</f>
        <v/>
      </c>
      <c r="P427">
        <f>IF($M427=0,$L427,"")</f>
        <v/>
      </c>
      <c r="R427">
        <f t="array" ref="R427">IFERROR(INDEX($L$2:$L$501,SMALL(IF($M$2:$M$501=1,ROW($M$2:$M$501)-1),ROW()-1)),"")</f>
        <v/>
      </c>
      <c r="S427">
        <f t="array" ref="S427">IFERROR(INDEX($L$2:$L$501,SMALL(IF($M$2:$M$501=0,ROW($M$2:$M$501)-1),ROW()-1)),"")</f>
        <v/>
      </c>
      <c r="U427">
        <f t="array" ref="U427">IFERROR(INDEX($C$2:$C$501,SMALL(IF($D$2:$D$501="France",ROW($D$2:$D$501)-1),ROW()-1)),"")</f>
        <v/>
      </c>
      <c r="V427">
        <f t="array" ref="V427">IFERROR(INDEX($C$2:$C$501,SMALL(IF($D$2:$D$501="Germany",ROW($D$2:$D$501)-1),ROW()-1)),"")</f>
        <v/>
      </c>
      <c r="W427">
        <f t="array" ref="W427">IFERROR(INDEX($C$2:$C$501,SMALL(IF($D$2:$D$501="Spain",ROW($D$2:$D$501)-1),ROW()-1)),"")</f>
        <v/>
      </c>
    </row>
    <row r="428">
      <c r="A428" t="n">
        <v>427</v>
      </c>
      <c r="B428" t="inlineStr">
        <is>
          <t>Brown</t>
        </is>
      </c>
      <c r="C428" t="n">
        <v>418</v>
      </c>
      <c r="D428" t="inlineStr">
        <is>
          <t>Germany</t>
        </is>
      </c>
      <c r="E428" t="inlineStr">
        <is>
          <t>Female</t>
        </is>
      </c>
      <c r="F428" t="n">
        <v>43</v>
      </c>
      <c r="G428" t="n">
        <v>7</v>
      </c>
      <c r="H428" t="n">
        <v>205080.33</v>
      </c>
      <c r="I428" t="n">
        <v>3</v>
      </c>
      <c r="J428" t="n">
        <v>0</v>
      </c>
      <c r="K428" t="n">
        <v>1</v>
      </c>
      <c r="L428" t="n">
        <v>22885.14</v>
      </c>
      <c r="M428" t="n">
        <v>1</v>
      </c>
      <c r="O428">
        <f>IF($M428=1,$L428,"")</f>
        <v/>
      </c>
      <c r="P428">
        <f>IF($M428=0,$L428,"")</f>
        <v/>
      </c>
      <c r="R428">
        <f t="array" ref="R428">IFERROR(INDEX($L$2:$L$501,SMALL(IF($M$2:$M$501=1,ROW($M$2:$M$501)-1),ROW()-1)),"")</f>
        <v/>
      </c>
      <c r="S428">
        <f t="array" ref="S428">IFERROR(INDEX($L$2:$L$501,SMALL(IF($M$2:$M$501=0,ROW($M$2:$M$501)-1),ROW()-1)),"")</f>
        <v/>
      </c>
      <c r="U428">
        <f t="array" ref="U428">IFERROR(INDEX($C$2:$C$501,SMALL(IF($D$2:$D$501="France",ROW($D$2:$D$501)-1),ROW()-1)),"")</f>
        <v/>
      </c>
      <c r="V428">
        <f t="array" ref="V428">IFERROR(INDEX($C$2:$C$501,SMALL(IF($D$2:$D$501="Germany",ROW($D$2:$D$501)-1),ROW()-1)),"")</f>
        <v/>
      </c>
      <c r="W428">
        <f t="array" ref="W428">IFERROR(INDEX($C$2:$C$501,SMALL(IF($D$2:$D$501="Spain",ROW($D$2:$D$501)-1),ROW()-1)),"")</f>
        <v/>
      </c>
    </row>
    <row r="429">
      <c r="A429" t="n">
        <v>428</v>
      </c>
      <c r="B429" t="inlineStr">
        <is>
          <t>Smith</t>
        </is>
      </c>
      <c r="C429" t="n">
        <v>787</v>
      </c>
      <c r="D429" t="inlineStr">
        <is>
          <t>France</t>
        </is>
      </c>
      <c r="E429" t="inlineStr">
        <is>
          <t>Female</t>
        </is>
      </c>
      <c r="F429" t="n">
        <v>77</v>
      </c>
      <c r="G429" t="n">
        <v>4</v>
      </c>
      <c r="H429" t="n">
        <v>82614.73</v>
      </c>
      <c r="I429" t="n">
        <v>1</v>
      </c>
      <c r="J429" t="n">
        <v>1</v>
      </c>
      <c r="K429" t="n">
        <v>0</v>
      </c>
      <c r="L429" t="n">
        <v>90275.78</v>
      </c>
      <c r="M429" t="n">
        <v>0</v>
      </c>
      <c r="O429">
        <f>IF($M429=1,$L429,"")</f>
        <v/>
      </c>
      <c r="P429">
        <f>IF($M429=0,$L429,"")</f>
        <v/>
      </c>
      <c r="R429">
        <f t="array" ref="R429">IFERROR(INDEX($L$2:$L$501,SMALL(IF($M$2:$M$501=1,ROW($M$2:$M$501)-1),ROW()-1)),"")</f>
        <v/>
      </c>
      <c r="S429">
        <f t="array" ref="S429">IFERROR(INDEX($L$2:$L$501,SMALL(IF($M$2:$M$501=0,ROW($M$2:$M$501)-1),ROW()-1)),"")</f>
        <v/>
      </c>
      <c r="U429">
        <f t="array" ref="U429">IFERROR(INDEX($C$2:$C$501,SMALL(IF($D$2:$D$501="France",ROW($D$2:$D$501)-1),ROW()-1)),"")</f>
        <v/>
      </c>
      <c r="V429">
        <f t="array" ref="V429">IFERROR(INDEX($C$2:$C$501,SMALL(IF($D$2:$D$501="Germany",ROW($D$2:$D$501)-1),ROW()-1)),"")</f>
        <v/>
      </c>
      <c r="W429">
        <f t="array" ref="W429">IFERROR(INDEX($C$2:$C$501,SMALL(IF($D$2:$D$501="Spain",ROW($D$2:$D$501)-1),ROW()-1)),"")</f>
        <v/>
      </c>
    </row>
    <row r="430">
      <c r="A430" t="n">
        <v>429</v>
      </c>
      <c r="B430" t="inlineStr">
        <is>
          <t>Moore</t>
        </is>
      </c>
      <c r="C430" t="n">
        <v>363</v>
      </c>
      <c r="D430" t="inlineStr">
        <is>
          <t>France</t>
        </is>
      </c>
      <c r="E430" t="inlineStr">
        <is>
          <t>Female</t>
        </is>
      </c>
      <c r="F430" t="n">
        <v>77</v>
      </c>
      <c r="G430" t="n">
        <v>0</v>
      </c>
      <c r="H430" t="n">
        <v>36501.09</v>
      </c>
      <c r="I430" t="n">
        <v>2</v>
      </c>
      <c r="J430" t="n">
        <v>1</v>
      </c>
      <c r="K430" t="n">
        <v>1</v>
      </c>
      <c r="L430" t="n">
        <v>64420.16</v>
      </c>
      <c r="M430" t="n">
        <v>1</v>
      </c>
      <c r="O430">
        <f>IF($M430=1,$L430,"")</f>
        <v/>
      </c>
      <c r="P430">
        <f>IF($M430=0,$L430,"")</f>
        <v/>
      </c>
      <c r="R430">
        <f t="array" ref="R430">IFERROR(INDEX($L$2:$L$501,SMALL(IF($M$2:$M$501=1,ROW($M$2:$M$501)-1),ROW()-1)),"")</f>
        <v/>
      </c>
      <c r="S430">
        <f t="array" ref="S430">IFERROR(INDEX($L$2:$L$501,SMALL(IF($M$2:$M$501=0,ROW($M$2:$M$501)-1),ROW()-1)),"")</f>
        <v/>
      </c>
      <c r="U430">
        <f t="array" ref="U430">IFERROR(INDEX($C$2:$C$501,SMALL(IF($D$2:$D$501="France",ROW($D$2:$D$501)-1),ROW()-1)),"")</f>
        <v/>
      </c>
      <c r="V430">
        <f t="array" ref="V430">IFERROR(INDEX($C$2:$C$501,SMALL(IF($D$2:$D$501="Germany",ROW($D$2:$D$501)-1),ROW()-1)),"")</f>
        <v/>
      </c>
      <c r="W430">
        <f t="array" ref="W430">IFERROR(INDEX($C$2:$C$501,SMALL(IF($D$2:$D$501="Spain",ROW($D$2:$D$501)-1),ROW()-1)),"")</f>
        <v/>
      </c>
    </row>
    <row r="431">
      <c r="A431" t="n">
        <v>430</v>
      </c>
      <c r="B431" t="inlineStr">
        <is>
          <t>Jones</t>
        </is>
      </c>
      <c r="C431" t="n">
        <v>451</v>
      </c>
      <c r="D431" t="inlineStr">
        <is>
          <t>Germany</t>
        </is>
      </c>
      <c r="E431" t="inlineStr">
        <is>
          <t>Male</t>
        </is>
      </c>
      <c r="F431" t="n">
        <v>76</v>
      </c>
      <c r="G431" t="n">
        <v>10</v>
      </c>
      <c r="H431" t="n">
        <v>1978.31</v>
      </c>
      <c r="I431" t="n">
        <v>2</v>
      </c>
      <c r="J431" t="n">
        <v>1</v>
      </c>
      <c r="K431" t="n">
        <v>0</v>
      </c>
      <c r="L431" t="n">
        <v>19915.18</v>
      </c>
      <c r="M431" t="n">
        <v>1</v>
      </c>
      <c r="O431">
        <f>IF($M431=1,$L431,"")</f>
        <v/>
      </c>
      <c r="P431">
        <f>IF($M431=0,$L431,"")</f>
        <v/>
      </c>
      <c r="R431">
        <f t="array" ref="R431">IFERROR(INDEX($L$2:$L$501,SMALL(IF($M$2:$M$501=1,ROW($M$2:$M$501)-1),ROW()-1)),"")</f>
        <v/>
      </c>
      <c r="S431">
        <f t="array" ref="S431">IFERROR(INDEX($L$2:$L$501,SMALL(IF($M$2:$M$501=0,ROW($M$2:$M$501)-1),ROW()-1)),"")</f>
        <v/>
      </c>
      <c r="U431">
        <f t="array" ref="U431">IFERROR(INDEX($C$2:$C$501,SMALL(IF($D$2:$D$501="France",ROW($D$2:$D$501)-1),ROW()-1)),"")</f>
        <v/>
      </c>
      <c r="V431">
        <f t="array" ref="V431">IFERROR(INDEX($C$2:$C$501,SMALL(IF($D$2:$D$501="Germany",ROW($D$2:$D$501)-1),ROW()-1)),"")</f>
        <v/>
      </c>
      <c r="W431">
        <f t="array" ref="W431">IFERROR(INDEX($C$2:$C$501,SMALL(IF($D$2:$D$501="Spain",ROW($D$2:$D$501)-1),ROW()-1)),"")</f>
        <v/>
      </c>
    </row>
    <row r="432">
      <c r="A432" t="n">
        <v>431</v>
      </c>
      <c r="B432" t="inlineStr">
        <is>
          <t>Taylor</t>
        </is>
      </c>
      <c r="C432" t="n">
        <v>625</v>
      </c>
      <c r="D432" t="inlineStr">
        <is>
          <t>France</t>
        </is>
      </c>
      <c r="E432" t="inlineStr">
        <is>
          <t>Male</t>
        </is>
      </c>
      <c r="F432" t="n">
        <v>36</v>
      </c>
      <c r="G432" t="n">
        <v>0</v>
      </c>
      <c r="H432" t="n">
        <v>165914.53</v>
      </c>
      <c r="I432" t="n">
        <v>2</v>
      </c>
      <c r="J432" t="n">
        <v>1</v>
      </c>
      <c r="K432" t="n">
        <v>0</v>
      </c>
      <c r="L432" t="n">
        <v>71091.44</v>
      </c>
      <c r="M432" t="n">
        <v>0</v>
      </c>
      <c r="O432">
        <f>IF($M432=1,$L432,"")</f>
        <v/>
      </c>
      <c r="P432">
        <f>IF($M432=0,$L432,"")</f>
        <v/>
      </c>
      <c r="R432">
        <f t="array" ref="R432">IFERROR(INDEX($L$2:$L$501,SMALL(IF($M$2:$M$501=1,ROW($M$2:$M$501)-1),ROW()-1)),"")</f>
        <v/>
      </c>
      <c r="S432">
        <f t="array" ref="S432">IFERROR(INDEX($L$2:$L$501,SMALL(IF($M$2:$M$501=0,ROW($M$2:$M$501)-1),ROW()-1)),"")</f>
        <v/>
      </c>
      <c r="U432">
        <f t="array" ref="U432">IFERROR(INDEX($C$2:$C$501,SMALL(IF($D$2:$D$501="France",ROW($D$2:$D$501)-1),ROW()-1)),"")</f>
        <v/>
      </c>
      <c r="V432">
        <f t="array" ref="V432">IFERROR(INDEX($C$2:$C$501,SMALL(IF($D$2:$D$501="Germany",ROW($D$2:$D$501)-1),ROW()-1)),"")</f>
        <v/>
      </c>
      <c r="W432">
        <f t="array" ref="W432">IFERROR(INDEX($C$2:$C$501,SMALL(IF($D$2:$D$501="Spain",ROW($D$2:$D$501)-1),ROW()-1)),"")</f>
        <v/>
      </c>
    </row>
    <row r="433">
      <c r="A433" t="n">
        <v>432</v>
      </c>
      <c r="B433" t="inlineStr">
        <is>
          <t>Davis</t>
        </is>
      </c>
      <c r="C433" t="n">
        <v>713</v>
      </c>
      <c r="D433" t="inlineStr">
        <is>
          <t>Germany</t>
        </is>
      </c>
      <c r="E433" t="inlineStr">
        <is>
          <t>Female</t>
        </is>
      </c>
      <c r="F433" t="n">
        <v>30</v>
      </c>
      <c r="G433" t="n">
        <v>0</v>
      </c>
      <c r="H433" t="n">
        <v>46903.02</v>
      </c>
      <c r="I433" t="n">
        <v>2</v>
      </c>
      <c r="J433" t="n">
        <v>1</v>
      </c>
      <c r="K433" t="n">
        <v>1</v>
      </c>
      <c r="L433" t="n">
        <v>120900.9</v>
      </c>
      <c r="M433" t="n">
        <v>0</v>
      </c>
      <c r="O433">
        <f>IF($M433=1,$L433,"")</f>
        <v/>
      </c>
      <c r="P433">
        <f>IF($M433=0,$L433,"")</f>
        <v/>
      </c>
      <c r="R433">
        <f t="array" ref="R433">IFERROR(INDEX($L$2:$L$501,SMALL(IF($M$2:$M$501=1,ROW($M$2:$M$501)-1),ROW()-1)),"")</f>
        <v/>
      </c>
      <c r="S433">
        <f t="array" ref="S433">IFERROR(INDEX($L$2:$L$501,SMALL(IF($M$2:$M$501=0,ROW($M$2:$M$501)-1),ROW()-1)),"")</f>
        <v/>
      </c>
      <c r="U433">
        <f t="array" ref="U433">IFERROR(INDEX($C$2:$C$501,SMALL(IF($D$2:$D$501="France",ROW($D$2:$D$501)-1),ROW()-1)),"")</f>
        <v/>
      </c>
      <c r="V433">
        <f t="array" ref="V433">IFERROR(INDEX($C$2:$C$501,SMALL(IF($D$2:$D$501="Germany",ROW($D$2:$D$501)-1),ROW()-1)),"")</f>
        <v/>
      </c>
      <c r="W433">
        <f t="array" ref="W433">IFERROR(INDEX($C$2:$C$501,SMALL(IF($D$2:$D$501="Spain",ROW($D$2:$D$501)-1),ROW()-1)),"")</f>
        <v/>
      </c>
    </row>
    <row r="434">
      <c r="A434" t="n">
        <v>433</v>
      </c>
      <c r="B434" t="inlineStr">
        <is>
          <t>Davis</t>
        </is>
      </c>
      <c r="C434" t="n">
        <v>614</v>
      </c>
      <c r="D434" t="inlineStr">
        <is>
          <t>France</t>
        </is>
      </c>
      <c r="E434" t="inlineStr">
        <is>
          <t>Male</t>
        </is>
      </c>
      <c r="F434" t="n">
        <v>19</v>
      </c>
      <c r="G434" t="n">
        <v>0</v>
      </c>
      <c r="H434" t="n">
        <v>179138.58</v>
      </c>
      <c r="I434" t="n">
        <v>2</v>
      </c>
      <c r="J434" t="n">
        <v>0</v>
      </c>
      <c r="K434" t="n">
        <v>0</v>
      </c>
      <c r="L434" t="n">
        <v>40101.64</v>
      </c>
      <c r="M434" t="n">
        <v>1</v>
      </c>
      <c r="O434">
        <f>IF($M434=1,$L434,"")</f>
        <v/>
      </c>
      <c r="P434">
        <f>IF($M434=0,$L434,"")</f>
        <v/>
      </c>
      <c r="R434">
        <f t="array" ref="R434">IFERROR(INDEX($L$2:$L$501,SMALL(IF($M$2:$M$501=1,ROW($M$2:$M$501)-1),ROW()-1)),"")</f>
        <v/>
      </c>
      <c r="S434">
        <f t="array" ref="S434">IFERROR(INDEX($L$2:$L$501,SMALL(IF($M$2:$M$501=0,ROW($M$2:$M$501)-1),ROW()-1)),"")</f>
        <v/>
      </c>
      <c r="U434">
        <f t="array" ref="U434">IFERROR(INDEX($C$2:$C$501,SMALL(IF($D$2:$D$501="France",ROW($D$2:$D$501)-1),ROW()-1)),"")</f>
        <v/>
      </c>
      <c r="V434">
        <f t="array" ref="V434">IFERROR(INDEX($C$2:$C$501,SMALL(IF($D$2:$D$501="Germany",ROW($D$2:$D$501)-1),ROW()-1)),"")</f>
        <v/>
      </c>
      <c r="W434">
        <f t="array" ref="W434">IFERROR(INDEX($C$2:$C$501,SMALL(IF($D$2:$D$501="Spain",ROW($D$2:$D$501)-1),ROW()-1)),"")</f>
        <v/>
      </c>
    </row>
    <row r="435">
      <c r="A435" t="n">
        <v>434</v>
      </c>
      <c r="B435" t="inlineStr">
        <is>
          <t>Johnson</t>
        </is>
      </c>
      <c r="C435" t="n">
        <v>702</v>
      </c>
      <c r="D435" t="inlineStr">
        <is>
          <t>France</t>
        </is>
      </c>
      <c r="E435" t="inlineStr">
        <is>
          <t>Male</t>
        </is>
      </c>
      <c r="F435" t="n">
        <v>45</v>
      </c>
      <c r="G435" t="n">
        <v>4</v>
      </c>
      <c r="H435" t="n">
        <v>143858.2</v>
      </c>
      <c r="I435" t="n">
        <v>3</v>
      </c>
      <c r="J435" t="n">
        <v>0</v>
      </c>
      <c r="K435" t="n">
        <v>1</v>
      </c>
      <c r="L435" t="n">
        <v>111156.24</v>
      </c>
      <c r="M435" t="n">
        <v>1</v>
      </c>
      <c r="O435">
        <f>IF($M435=1,$L435,"")</f>
        <v/>
      </c>
      <c r="P435">
        <f>IF($M435=0,$L435,"")</f>
        <v/>
      </c>
      <c r="R435">
        <f t="array" ref="R435">IFERROR(INDEX($L$2:$L$501,SMALL(IF($M$2:$M$501=1,ROW($M$2:$M$501)-1),ROW()-1)),"")</f>
        <v/>
      </c>
      <c r="S435">
        <f t="array" ref="S435">IFERROR(INDEX($L$2:$L$501,SMALL(IF($M$2:$M$501=0,ROW($M$2:$M$501)-1),ROW()-1)),"")</f>
        <v/>
      </c>
      <c r="U435">
        <f t="array" ref="U435">IFERROR(INDEX($C$2:$C$501,SMALL(IF($D$2:$D$501="France",ROW($D$2:$D$501)-1),ROW()-1)),"")</f>
        <v/>
      </c>
      <c r="V435">
        <f t="array" ref="V435">IFERROR(INDEX($C$2:$C$501,SMALL(IF($D$2:$D$501="Germany",ROW($D$2:$D$501)-1),ROW()-1)),"")</f>
        <v/>
      </c>
      <c r="W435">
        <f t="array" ref="W435">IFERROR(INDEX($C$2:$C$501,SMALL(IF($D$2:$D$501="Spain",ROW($D$2:$D$501)-1),ROW()-1)),"")</f>
        <v/>
      </c>
    </row>
    <row r="436">
      <c r="A436" t="n">
        <v>435</v>
      </c>
      <c r="B436" t="inlineStr">
        <is>
          <t>Wilson</t>
        </is>
      </c>
      <c r="C436" t="n">
        <v>559</v>
      </c>
      <c r="D436" t="inlineStr">
        <is>
          <t>Germany</t>
        </is>
      </c>
      <c r="E436" t="inlineStr">
        <is>
          <t>Male</t>
        </is>
      </c>
      <c r="F436" t="n">
        <v>28</v>
      </c>
      <c r="G436" t="n">
        <v>5</v>
      </c>
      <c r="H436" t="n">
        <v>117504.37</v>
      </c>
      <c r="I436" t="n">
        <v>3</v>
      </c>
      <c r="J436" t="n">
        <v>1</v>
      </c>
      <c r="K436" t="n">
        <v>1</v>
      </c>
      <c r="L436" t="n">
        <v>69683.2</v>
      </c>
      <c r="M436" t="n">
        <v>1</v>
      </c>
      <c r="O436">
        <f>IF($M436=1,$L436,"")</f>
        <v/>
      </c>
      <c r="P436">
        <f>IF($M436=0,$L436,"")</f>
        <v/>
      </c>
      <c r="R436">
        <f t="array" ref="R436">IFERROR(INDEX($L$2:$L$501,SMALL(IF($M$2:$M$501=1,ROW($M$2:$M$501)-1),ROW()-1)),"")</f>
        <v/>
      </c>
      <c r="S436">
        <f t="array" ref="S436">IFERROR(INDEX($L$2:$L$501,SMALL(IF($M$2:$M$501=0,ROW($M$2:$M$501)-1),ROW()-1)),"")</f>
        <v/>
      </c>
      <c r="U436">
        <f t="array" ref="U436">IFERROR(INDEX($C$2:$C$501,SMALL(IF($D$2:$D$501="France",ROW($D$2:$D$501)-1),ROW()-1)),"")</f>
        <v/>
      </c>
      <c r="V436">
        <f t="array" ref="V436">IFERROR(INDEX($C$2:$C$501,SMALL(IF($D$2:$D$501="Germany",ROW($D$2:$D$501)-1),ROW()-1)),"")</f>
        <v/>
      </c>
      <c r="W436">
        <f t="array" ref="W436">IFERROR(INDEX($C$2:$C$501,SMALL(IF($D$2:$D$501="Spain",ROW($D$2:$D$501)-1),ROW()-1)),"")</f>
        <v/>
      </c>
    </row>
    <row r="437">
      <c r="A437" t="n">
        <v>436</v>
      </c>
      <c r="B437" t="inlineStr">
        <is>
          <t>Moore</t>
        </is>
      </c>
      <c r="C437" t="n">
        <v>547</v>
      </c>
      <c r="D437" t="inlineStr">
        <is>
          <t>Spain</t>
        </is>
      </c>
      <c r="E437" t="inlineStr">
        <is>
          <t>Male</t>
        </is>
      </c>
      <c r="F437" t="n">
        <v>85</v>
      </c>
      <c r="G437" t="n">
        <v>5</v>
      </c>
      <c r="H437" t="n">
        <v>191884.81</v>
      </c>
      <c r="I437" t="n">
        <v>1</v>
      </c>
      <c r="J437" t="n">
        <v>1</v>
      </c>
      <c r="K437" t="n">
        <v>1</v>
      </c>
      <c r="L437" t="n">
        <v>56017.64</v>
      </c>
      <c r="M437" t="n">
        <v>1</v>
      </c>
      <c r="O437">
        <f>IF($M437=1,$L437,"")</f>
        <v/>
      </c>
      <c r="P437">
        <f>IF($M437=0,$L437,"")</f>
        <v/>
      </c>
      <c r="R437">
        <f t="array" ref="R437">IFERROR(INDEX($L$2:$L$501,SMALL(IF($M$2:$M$501=1,ROW($M$2:$M$501)-1),ROW()-1)),"")</f>
        <v/>
      </c>
      <c r="S437">
        <f t="array" ref="S437">IFERROR(INDEX($L$2:$L$501,SMALL(IF($M$2:$M$501=0,ROW($M$2:$M$501)-1),ROW()-1)),"")</f>
        <v/>
      </c>
      <c r="U437">
        <f t="array" ref="U437">IFERROR(INDEX($C$2:$C$501,SMALL(IF($D$2:$D$501="France",ROW($D$2:$D$501)-1),ROW()-1)),"")</f>
        <v/>
      </c>
      <c r="V437">
        <f t="array" ref="V437">IFERROR(INDEX($C$2:$C$501,SMALL(IF($D$2:$D$501="Germany",ROW($D$2:$D$501)-1),ROW()-1)),"")</f>
        <v/>
      </c>
      <c r="W437">
        <f t="array" ref="W437">IFERROR(INDEX($C$2:$C$501,SMALL(IF($D$2:$D$501="Spain",ROW($D$2:$D$501)-1),ROW()-1)),"")</f>
        <v/>
      </c>
    </row>
    <row r="438">
      <c r="A438" t="n">
        <v>437</v>
      </c>
      <c r="B438" t="inlineStr">
        <is>
          <t>Miller</t>
        </is>
      </c>
      <c r="C438" t="n">
        <v>730</v>
      </c>
      <c r="D438" t="inlineStr">
        <is>
          <t>Germany</t>
        </is>
      </c>
      <c r="E438" t="inlineStr">
        <is>
          <t>Male</t>
        </is>
      </c>
      <c r="F438" t="n">
        <v>79</v>
      </c>
      <c r="G438" t="n">
        <v>9</v>
      </c>
      <c r="H438" t="n">
        <v>245266.56</v>
      </c>
      <c r="I438" t="n">
        <v>4</v>
      </c>
      <c r="J438" t="n">
        <v>1</v>
      </c>
      <c r="K438" t="n">
        <v>1</v>
      </c>
      <c r="L438" t="n">
        <v>68485.74000000001</v>
      </c>
      <c r="M438" t="n">
        <v>1</v>
      </c>
      <c r="O438">
        <f>IF($M438=1,$L438,"")</f>
        <v/>
      </c>
      <c r="P438">
        <f>IF($M438=0,$L438,"")</f>
        <v/>
      </c>
      <c r="R438">
        <f t="array" ref="R438">IFERROR(INDEX($L$2:$L$501,SMALL(IF($M$2:$M$501=1,ROW($M$2:$M$501)-1),ROW()-1)),"")</f>
        <v/>
      </c>
      <c r="S438">
        <f t="array" ref="S438">IFERROR(INDEX($L$2:$L$501,SMALL(IF($M$2:$M$501=0,ROW($M$2:$M$501)-1),ROW()-1)),"")</f>
        <v/>
      </c>
      <c r="U438">
        <f t="array" ref="U438">IFERROR(INDEX($C$2:$C$501,SMALL(IF($D$2:$D$501="France",ROW($D$2:$D$501)-1),ROW()-1)),"")</f>
        <v/>
      </c>
      <c r="V438">
        <f t="array" ref="V438">IFERROR(INDEX($C$2:$C$501,SMALL(IF($D$2:$D$501="Germany",ROW($D$2:$D$501)-1),ROW()-1)),"")</f>
        <v/>
      </c>
      <c r="W438">
        <f t="array" ref="W438">IFERROR(INDEX($C$2:$C$501,SMALL(IF($D$2:$D$501="Spain",ROW($D$2:$D$501)-1),ROW()-1)),"")</f>
        <v/>
      </c>
    </row>
    <row r="439">
      <c r="A439" t="n">
        <v>438</v>
      </c>
      <c r="B439" t="inlineStr">
        <is>
          <t>Brown</t>
        </is>
      </c>
      <c r="C439" t="n">
        <v>450</v>
      </c>
      <c r="D439" t="inlineStr">
        <is>
          <t>Spain</t>
        </is>
      </c>
      <c r="E439" t="inlineStr">
        <is>
          <t>Female</t>
        </is>
      </c>
      <c r="F439" t="n">
        <v>34</v>
      </c>
      <c r="G439" t="n">
        <v>2</v>
      </c>
      <c r="H439" t="n">
        <v>32148.54</v>
      </c>
      <c r="I439" t="n">
        <v>2</v>
      </c>
      <c r="J439" t="n">
        <v>0</v>
      </c>
      <c r="K439" t="n">
        <v>1</v>
      </c>
      <c r="L439" t="n">
        <v>99026.41</v>
      </c>
      <c r="M439" t="n">
        <v>0</v>
      </c>
      <c r="O439">
        <f>IF($M439=1,$L439,"")</f>
        <v/>
      </c>
      <c r="P439">
        <f>IF($M439=0,$L439,"")</f>
        <v/>
      </c>
      <c r="R439">
        <f t="array" ref="R439">IFERROR(INDEX($L$2:$L$501,SMALL(IF($M$2:$M$501=1,ROW($M$2:$M$501)-1),ROW()-1)),"")</f>
        <v/>
      </c>
      <c r="S439">
        <f t="array" ref="S439">IFERROR(INDEX($L$2:$L$501,SMALL(IF($M$2:$M$501=0,ROW($M$2:$M$501)-1),ROW()-1)),"")</f>
        <v/>
      </c>
      <c r="U439">
        <f t="array" ref="U439">IFERROR(INDEX($C$2:$C$501,SMALL(IF($D$2:$D$501="France",ROW($D$2:$D$501)-1),ROW()-1)),"")</f>
        <v/>
      </c>
      <c r="V439">
        <f t="array" ref="V439">IFERROR(INDEX($C$2:$C$501,SMALL(IF($D$2:$D$501="Germany",ROW($D$2:$D$501)-1),ROW()-1)),"")</f>
        <v/>
      </c>
      <c r="W439">
        <f t="array" ref="W439">IFERROR(INDEX($C$2:$C$501,SMALL(IF($D$2:$D$501="Spain",ROW($D$2:$D$501)-1),ROW()-1)),"")</f>
        <v/>
      </c>
    </row>
    <row r="440">
      <c r="A440" t="n">
        <v>439</v>
      </c>
      <c r="B440" t="inlineStr">
        <is>
          <t>Wilson</t>
        </is>
      </c>
      <c r="C440" t="n">
        <v>735</v>
      </c>
      <c r="D440" t="inlineStr">
        <is>
          <t>Spain</t>
        </is>
      </c>
      <c r="E440" t="inlineStr">
        <is>
          <t>Female</t>
        </is>
      </c>
      <c r="F440" t="n">
        <v>45</v>
      </c>
      <c r="G440" t="n">
        <v>10</v>
      </c>
      <c r="H440" t="n">
        <v>137629.67</v>
      </c>
      <c r="I440" t="n">
        <v>4</v>
      </c>
      <c r="J440" t="n">
        <v>0</v>
      </c>
      <c r="K440" t="n">
        <v>1</v>
      </c>
      <c r="L440" t="n">
        <v>63609.91</v>
      </c>
      <c r="M440" t="n">
        <v>0</v>
      </c>
      <c r="O440">
        <f>IF($M440=1,$L440,"")</f>
        <v/>
      </c>
      <c r="P440">
        <f>IF($M440=0,$L440,"")</f>
        <v/>
      </c>
      <c r="R440">
        <f t="array" ref="R440">IFERROR(INDEX($L$2:$L$501,SMALL(IF($M$2:$M$501=1,ROW($M$2:$M$501)-1),ROW()-1)),"")</f>
        <v/>
      </c>
      <c r="S440">
        <f t="array" ref="S440">IFERROR(INDEX($L$2:$L$501,SMALL(IF($M$2:$M$501=0,ROW($M$2:$M$501)-1),ROW()-1)),"")</f>
        <v/>
      </c>
      <c r="U440">
        <f t="array" ref="U440">IFERROR(INDEX($C$2:$C$501,SMALL(IF($D$2:$D$501="France",ROW($D$2:$D$501)-1),ROW()-1)),"")</f>
        <v/>
      </c>
      <c r="V440">
        <f t="array" ref="V440">IFERROR(INDEX($C$2:$C$501,SMALL(IF($D$2:$D$501="Germany",ROW($D$2:$D$501)-1),ROW()-1)),"")</f>
        <v/>
      </c>
      <c r="W440">
        <f t="array" ref="W440">IFERROR(INDEX($C$2:$C$501,SMALL(IF($D$2:$D$501="Spain",ROW($D$2:$D$501)-1),ROW()-1)),"")</f>
        <v/>
      </c>
    </row>
    <row r="441">
      <c r="A441" t="n">
        <v>440</v>
      </c>
      <c r="B441" t="inlineStr">
        <is>
          <t>Jones</t>
        </is>
      </c>
      <c r="C441" t="n">
        <v>603</v>
      </c>
      <c r="D441" t="inlineStr">
        <is>
          <t>France</t>
        </is>
      </c>
      <c r="E441" t="inlineStr">
        <is>
          <t>Male</t>
        </is>
      </c>
      <c r="F441" t="n">
        <v>24</v>
      </c>
      <c r="G441" t="n">
        <v>0</v>
      </c>
      <c r="H441" t="n">
        <v>78305.72</v>
      </c>
      <c r="I441" t="n">
        <v>2</v>
      </c>
      <c r="J441" t="n">
        <v>0</v>
      </c>
      <c r="K441" t="n">
        <v>1</v>
      </c>
      <c r="L441" t="n">
        <v>84684</v>
      </c>
      <c r="M441" t="n">
        <v>0</v>
      </c>
      <c r="O441">
        <f>IF($M441=1,$L441,"")</f>
        <v/>
      </c>
      <c r="P441">
        <f>IF($M441=0,$L441,"")</f>
        <v/>
      </c>
      <c r="R441">
        <f t="array" ref="R441">IFERROR(INDEX($L$2:$L$501,SMALL(IF($M$2:$M$501=1,ROW($M$2:$M$501)-1),ROW()-1)),"")</f>
        <v/>
      </c>
      <c r="S441">
        <f t="array" ref="S441">IFERROR(INDEX($L$2:$L$501,SMALL(IF($M$2:$M$501=0,ROW($M$2:$M$501)-1),ROW()-1)),"")</f>
        <v/>
      </c>
      <c r="U441">
        <f t="array" ref="U441">IFERROR(INDEX($C$2:$C$501,SMALL(IF($D$2:$D$501="France",ROW($D$2:$D$501)-1),ROW()-1)),"")</f>
        <v/>
      </c>
      <c r="V441">
        <f t="array" ref="V441">IFERROR(INDEX($C$2:$C$501,SMALL(IF($D$2:$D$501="Germany",ROW($D$2:$D$501)-1),ROW()-1)),"")</f>
        <v/>
      </c>
      <c r="W441">
        <f t="array" ref="W441">IFERROR(INDEX($C$2:$C$501,SMALL(IF($D$2:$D$501="Spain",ROW($D$2:$D$501)-1),ROW()-1)),"")</f>
        <v/>
      </c>
    </row>
    <row r="442">
      <c r="A442" t="n">
        <v>441</v>
      </c>
      <c r="B442" t="inlineStr">
        <is>
          <t>Davis</t>
        </is>
      </c>
      <c r="C442" t="n">
        <v>507</v>
      </c>
      <c r="D442" t="inlineStr">
        <is>
          <t>Germany</t>
        </is>
      </c>
      <c r="E442" t="inlineStr">
        <is>
          <t>Female</t>
        </is>
      </c>
      <c r="F442" t="n">
        <v>18</v>
      </c>
      <c r="G442" t="n">
        <v>7</v>
      </c>
      <c r="H442" t="n">
        <v>6988.85</v>
      </c>
      <c r="I442" t="n">
        <v>2</v>
      </c>
      <c r="J442" t="n">
        <v>1</v>
      </c>
      <c r="K442" t="n">
        <v>1</v>
      </c>
      <c r="L442" t="n">
        <v>20477.41</v>
      </c>
      <c r="M442" t="n">
        <v>1</v>
      </c>
      <c r="O442">
        <f>IF($M442=1,$L442,"")</f>
        <v/>
      </c>
      <c r="P442">
        <f>IF($M442=0,$L442,"")</f>
        <v/>
      </c>
      <c r="R442">
        <f t="array" ref="R442">IFERROR(INDEX($L$2:$L$501,SMALL(IF($M$2:$M$501=1,ROW($M$2:$M$501)-1),ROW()-1)),"")</f>
        <v/>
      </c>
      <c r="S442">
        <f t="array" ref="S442">IFERROR(INDEX($L$2:$L$501,SMALL(IF($M$2:$M$501=0,ROW($M$2:$M$501)-1),ROW()-1)),"")</f>
        <v/>
      </c>
      <c r="U442">
        <f t="array" ref="U442">IFERROR(INDEX($C$2:$C$501,SMALL(IF($D$2:$D$501="France",ROW($D$2:$D$501)-1),ROW()-1)),"")</f>
        <v/>
      </c>
      <c r="V442">
        <f t="array" ref="V442">IFERROR(INDEX($C$2:$C$501,SMALL(IF($D$2:$D$501="Germany",ROW($D$2:$D$501)-1),ROW()-1)),"")</f>
        <v/>
      </c>
      <c r="W442">
        <f t="array" ref="W442">IFERROR(INDEX($C$2:$C$501,SMALL(IF($D$2:$D$501="Spain",ROW($D$2:$D$501)-1),ROW()-1)),"")</f>
        <v/>
      </c>
    </row>
    <row r="443">
      <c r="A443" t="n">
        <v>442</v>
      </c>
      <c r="B443" t="inlineStr">
        <is>
          <t>Jones</t>
        </is>
      </c>
      <c r="C443" t="n">
        <v>739</v>
      </c>
      <c r="D443" t="inlineStr">
        <is>
          <t>Spain</t>
        </is>
      </c>
      <c r="E443" t="inlineStr">
        <is>
          <t>Male</t>
        </is>
      </c>
      <c r="F443" t="n">
        <v>25</v>
      </c>
      <c r="G443" t="n">
        <v>1</v>
      </c>
      <c r="H443" t="n">
        <v>7336.57</v>
      </c>
      <c r="I443" t="n">
        <v>3</v>
      </c>
      <c r="J443" t="n">
        <v>1</v>
      </c>
      <c r="K443" t="n">
        <v>0</v>
      </c>
      <c r="L443" t="n">
        <v>102957.36</v>
      </c>
      <c r="M443" t="n">
        <v>1</v>
      </c>
      <c r="O443">
        <f>IF($M443=1,$L443,"")</f>
        <v/>
      </c>
      <c r="P443">
        <f>IF($M443=0,$L443,"")</f>
        <v/>
      </c>
      <c r="R443">
        <f t="array" ref="R443">IFERROR(INDEX($L$2:$L$501,SMALL(IF($M$2:$M$501=1,ROW($M$2:$M$501)-1),ROW()-1)),"")</f>
        <v/>
      </c>
      <c r="S443">
        <f t="array" ref="S443">IFERROR(INDEX($L$2:$L$501,SMALL(IF($M$2:$M$501=0,ROW($M$2:$M$501)-1),ROW()-1)),"")</f>
        <v/>
      </c>
      <c r="U443">
        <f t="array" ref="U443">IFERROR(INDEX($C$2:$C$501,SMALL(IF($D$2:$D$501="France",ROW($D$2:$D$501)-1),ROW()-1)),"")</f>
        <v/>
      </c>
      <c r="V443">
        <f t="array" ref="V443">IFERROR(INDEX($C$2:$C$501,SMALL(IF($D$2:$D$501="Germany",ROW($D$2:$D$501)-1),ROW()-1)),"")</f>
        <v/>
      </c>
      <c r="W443">
        <f t="array" ref="W443">IFERROR(INDEX($C$2:$C$501,SMALL(IF($D$2:$D$501="Spain",ROW($D$2:$D$501)-1),ROW()-1)),"")</f>
        <v/>
      </c>
    </row>
    <row r="444">
      <c r="A444" t="n">
        <v>443</v>
      </c>
      <c r="B444" t="inlineStr">
        <is>
          <t>Miller</t>
        </is>
      </c>
      <c r="C444" t="n">
        <v>814</v>
      </c>
      <c r="D444" t="inlineStr">
        <is>
          <t>Spain</t>
        </is>
      </c>
      <c r="E444" t="inlineStr">
        <is>
          <t>Male</t>
        </is>
      </c>
      <c r="F444" t="n">
        <v>43</v>
      </c>
      <c r="G444" t="n">
        <v>9</v>
      </c>
      <c r="H444" t="n">
        <v>144405.5</v>
      </c>
      <c r="I444" t="n">
        <v>1</v>
      </c>
      <c r="J444" t="n">
        <v>0</v>
      </c>
      <c r="K444" t="n">
        <v>1</v>
      </c>
      <c r="L444" t="n">
        <v>30241.09</v>
      </c>
      <c r="M444" t="n">
        <v>1</v>
      </c>
      <c r="O444">
        <f>IF($M444=1,$L444,"")</f>
        <v/>
      </c>
      <c r="P444">
        <f>IF($M444=0,$L444,"")</f>
        <v/>
      </c>
      <c r="R444">
        <f t="array" ref="R444">IFERROR(INDEX($L$2:$L$501,SMALL(IF($M$2:$M$501=1,ROW($M$2:$M$501)-1),ROW()-1)),"")</f>
        <v/>
      </c>
      <c r="S444">
        <f t="array" ref="S444">IFERROR(INDEX($L$2:$L$501,SMALL(IF($M$2:$M$501=0,ROW($M$2:$M$501)-1),ROW()-1)),"")</f>
        <v/>
      </c>
      <c r="U444">
        <f t="array" ref="U444">IFERROR(INDEX($C$2:$C$501,SMALL(IF($D$2:$D$501="France",ROW($D$2:$D$501)-1),ROW()-1)),"")</f>
        <v/>
      </c>
      <c r="V444">
        <f t="array" ref="V444">IFERROR(INDEX($C$2:$C$501,SMALL(IF($D$2:$D$501="Germany",ROW($D$2:$D$501)-1),ROW()-1)),"")</f>
        <v/>
      </c>
      <c r="W444">
        <f t="array" ref="W444">IFERROR(INDEX($C$2:$C$501,SMALL(IF($D$2:$D$501="Spain",ROW($D$2:$D$501)-1),ROW()-1)),"")</f>
        <v/>
      </c>
    </row>
    <row r="445">
      <c r="A445" t="n">
        <v>444</v>
      </c>
      <c r="B445" t="inlineStr">
        <is>
          <t>Brown</t>
        </is>
      </c>
      <c r="C445" t="n">
        <v>580</v>
      </c>
      <c r="D445" t="inlineStr">
        <is>
          <t>Spain</t>
        </is>
      </c>
      <c r="E445" t="inlineStr">
        <is>
          <t>Male</t>
        </is>
      </c>
      <c r="F445" t="n">
        <v>85</v>
      </c>
      <c r="G445" t="n">
        <v>9</v>
      </c>
      <c r="H445" t="n">
        <v>20728.86</v>
      </c>
      <c r="I445" t="n">
        <v>2</v>
      </c>
      <c r="J445" t="n">
        <v>0</v>
      </c>
      <c r="K445" t="n">
        <v>1</v>
      </c>
      <c r="L445" t="n">
        <v>33648.46</v>
      </c>
      <c r="M445" t="n">
        <v>1</v>
      </c>
      <c r="O445">
        <f>IF($M445=1,$L445,"")</f>
        <v/>
      </c>
      <c r="P445">
        <f>IF($M445=0,$L445,"")</f>
        <v/>
      </c>
      <c r="R445">
        <f t="array" ref="R445">IFERROR(INDEX($L$2:$L$501,SMALL(IF($M$2:$M$501=1,ROW($M$2:$M$501)-1),ROW()-1)),"")</f>
        <v/>
      </c>
      <c r="S445">
        <f t="array" ref="S445">IFERROR(INDEX($L$2:$L$501,SMALL(IF($M$2:$M$501=0,ROW($M$2:$M$501)-1),ROW()-1)),"")</f>
        <v/>
      </c>
      <c r="U445">
        <f t="array" ref="U445">IFERROR(INDEX($C$2:$C$501,SMALL(IF($D$2:$D$501="France",ROW($D$2:$D$501)-1),ROW()-1)),"")</f>
        <v/>
      </c>
      <c r="V445">
        <f t="array" ref="V445">IFERROR(INDEX($C$2:$C$501,SMALL(IF($D$2:$D$501="Germany",ROW($D$2:$D$501)-1),ROW()-1)),"")</f>
        <v/>
      </c>
      <c r="W445">
        <f t="array" ref="W445">IFERROR(INDEX($C$2:$C$501,SMALL(IF($D$2:$D$501="Spain",ROW($D$2:$D$501)-1),ROW()-1)),"")</f>
        <v/>
      </c>
    </row>
    <row r="446">
      <c r="A446" t="n">
        <v>445</v>
      </c>
      <c r="B446" t="inlineStr">
        <is>
          <t>Wilson</t>
        </is>
      </c>
      <c r="C446" t="n">
        <v>774</v>
      </c>
      <c r="D446" t="inlineStr">
        <is>
          <t>Spain</t>
        </is>
      </c>
      <c r="E446" t="inlineStr">
        <is>
          <t>Male</t>
        </is>
      </c>
      <c r="F446" t="n">
        <v>77</v>
      </c>
      <c r="G446" t="n">
        <v>10</v>
      </c>
      <c r="H446" t="n">
        <v>10982.07</v>
      </c>
      <c r="I446" t="n">
        <v>4</v>
      </c>
      <c r="J446" t="n">
        <v>1</v>
      </c>
      <c r="K446" t="n">
        <v>0</v>
      </c>
      <c r="L446" t="n">
        <v>107521.29</v>
      </c>
      <c r="M446" t="n">
        <v>0</v>
      </c>
      <c r="O446">
        <f>IF($M446=1,$L446,"")</f>
        <v/>
      </c>
      <c r="P446">
        <f>IF($M446=0,$L446,"")</f>
        <v/>
      </c>
      <c r="R446">
        <f t="array" ref="R446">IFERROR(INDEX($L$2:$L$501,SMALL(IF($M$2:$M$501=1,ROW($M$2:$M$501)-1),ROW()-1)),"")</f>
        <v/>
      </c>
      <c r="S446">
        <f t="array" ref="S446">IFERROR(INDEX($L$2:$L$501,SMALL(IF($M$2:$M$501=0,ROW($M$2:$M$501)-1),ROW()-1)),"")</f>
        <v/>
      </c>
      <c r="U446">
        <f t="array" ref="U446">IFERROR(INDEX($C$2:$C$501,SMALL(IF($D$2:$D$501="France",ROW($D$2:$D$501)-1),ROW()-1)),"")</f>
        <v/>
      </c>
      <c r="V446">
        <f t="array" ref="V446">IFERROR(INDEX($C$2:$C$501,SMALL(IF($D$2:$D$501="Germany",ROW($D$2:$D$501)-1),ROW()-1)),"")</f>
        <v/>
      </c>
      <c r="W446">
        <f t="array" ref="W446">IFERROR(INDEX($C$2:$C$501,SMALL(IF($D$2:$D$501="Spain",ROW($D$2:$D$501)-1),ROW()-1)),"")</f>
        <v/>
      </c>
    </row>
    <row r="447">
      <c r="A447" t="n">
        <v>446</v>
      </c>
      <c r="B447" t="inlineStr">
        <is>
          <t>Jones</t>
        </is>
      </c>
      <c r="C447" t="n">
        <v>500</v>
      </c>
      <c r="D447" t="inlineStr">
        <is>
          <t>Germany</t>
        </is>
      </c>
      <c r="E447" t="inlineStr">
        <is>
          <t>Male</t>
        </is>
      </c>
      <c r="F447" t="n">
        <v>54</v>
      </c>
      <c r="G447" t="n">
        <v>0</v>
      </c>
      <c r="H447" t="n">
        <v>43219.63</v>
      </c>
      <c r="I447" t="n">
        <v>1</v>
      </c>
      <c r="J447" t="n">
        <v>0</v>
      </c>
      <c r="K447" t="n">
        <v>1</v>
      </c>
      <c r="L447" t="n">
        <v>148736.87</v>
      </c>
      <c r="M447" t="n">
        <v>1</v>
      </c>
      <c r="O447">
        <f>IF($M447=1,$L447,"")</f>
        <v/>
      </c>
      <c r="P447">
        <f>IF($M447=0,$L447,"")</f>
        <v/>
      </c>
      <c r="R447">
        <f t="array" ref="R447">IFERROR(INDEX($L$2:$L$501,SMALL(IF($M$2:$M$501=1,ROW($M$2:$M$501)-1),ROW()-1)),"")</f>
        <v/>
      </c>
      <c r="S447">
        <f t="array" ref="S447">IFERROR(INDEX($L$2:$L$501,SMALL(IF($M$2:$M$501=0,ROW($M$2:$M$501)-1),ROW()-1)),"")</f>
        <v/>
      </c>
      <c r="U447">
        <f t="array" ref="U447">IFERROR(INDEX($C$2:$C$501,SMALL(IF($D$2:$D$501="France",ROW($D$2:$D$501)-1),ROW()-1)),"")</f>
        <v/>
      </c>
      <c r="V447">
        <f t="array" ref="V447">IFERROR(INDEX($C$2:$C$501,SMALL(IF($D$2:$D$501="Germany",ROW($D$2:$D$501)-1),ROW()-1)),"")</f>
        <v/>
      </c>
      <c r="W447">
        <f t="array" ref="W447">IFERROR(INDEX($C$2:$C$501,SMALL(IF($D$2:$D$501="Spain",ROW($D$2:$D$501)-1),ROW()-1)),"")</f>
        <v/>
      </c>
    </row>
    <row r="448">
      <c r="A448" t="n">
        <v>447</v>
      </c>
      <c r="B448" t="inlineStr">
        <is>
          <t>Smith</t>
        </is>
      </c>
      <c r="C448" t="n">
        <v>380</v>
      </c>
      <c r="D448" t="inlineStr">
        <is>
          <t>France</t>
        </is>
      </c>
      <c r="E448" t="inlineStr">
        <is>
          <t>Female</t>
        </is>
      </c>
      <c r="F448" t="n">
        <v>62</v>
      </c>
      <c r="G448" t="n">
        <v>7</v>
      </c>
      <c r="H448" t="n">
        <v>114966.17</v>
      </c>
      <c r="I448" t="n">
        <v>3</v>
      </c>
      <c r="J448" t="n">
        <v>0</v>
      </c>
      <c r="K448" t="n">
        <v>1</v>
      </c>
      <c r="L448" t="n">
        <v>136504.93</v>
      </c>
      <c r="M448" t="n">
        <v>1</v>
      </c>
      <c r="O448">
        <f>IF($M448=1,$L448,"")</f>
        <v/>
      </c>
      <c r="P448">
        <f>IF($M448=0,$L448,"")</f>
        <v/>
      </c>
      <c r="R448">
        <f t="array" ref="R448">IFERROR(INDEX($L$2:$L$501,SMALL(IF($M$2:$M$501=1,ROW($M$2:$M$501)-1),ROW()-1)),"")</f>
        <v/>
      </c>
      <c r="S448">
        <f t="array" ref="S448">IFERROR(INDEX($L$2:$L$501,SMALL(IF($M$2:$M$501=0,ROW($M$2:$M$501)-1),ROW()-1)),"")</f>
        <v/>
      </c>
      <c r="U448">
        <f t="array" ref="U448">IFERROR(INDEX($C$2:$C$501,SMALL(IF($D$2:$D$501="France",ROW($D$2:$D$501)-1),ROW()-1)),"")</f>
        <v/>
      </c>
      <c r="V448">
        <f t="array" ref="V448">IFERROR(INDEX($C$2:$C$501,SMALL(IF($D$2:$D$501="Germany",ROW($D$2:$D$501)-1),ROW()-1)),"")</f>
        <v/>
      </c>
      <c r="W448">
        <f t="array" ref="W448">IFERROR(INDEX($C$2:$C$501,SMALL(IF($D$2:$D$501="Spain",ROW($D$2:$D$501)-1),ROW()-1)),"")</f>
        <v/>
      </c>
    </row>
    <row r="449">
      <c r="A449" t="n">
        <v>448</v>
      </c>
      <c r="B449" t="inlineStr">
        <is>
          <t>Davis</t>
        </is>
      </c>
      <c r="C449" t="n">
        <v>605</v>
      </c>
      <c r="D449" t="inlineStr">
        <is>
          <t>France</t>
        </is>
      </c>
      <c r="E449" t="inlineStr">
        <is>
          <t>Female</t>
        </is>
      </c>
      <c r="F449" t="n">
        <v>90</v>
      </c>
      <c r="G449" t="n">
        <v>6</v>
      </c>
      <c r="H449" t="n">
        <v>125191.91</v>
      </c>
      <c r="I449" t="n">
        <v>2</v>
      </c>
      <c r="J449" t="n">
        <v>0</v>
      </c>
      <c r="K449" t="n">
        <v>1</v>
      </c>
      <c r="L449" t="n">
        <v>74035.92999999999</v>
      </c>
      <c r="M449" t="n">
        <v>1</v>
      </c>
      <c r="O449">
        <f>IF($M449=1,$L449,"")</f>
        <v/>
      </c>
      <c r="P449">
        <f>IF($M449=0,$L449,"")</f>
        <v/>
      </c>
      <c r="R449">
        <f t="array" ref="R449">IFERROR(INDEX($L$2:$L$501,SMALL(IF($M$2:$M$501=1,ROW($M$2:$M$501)-1),ROW()-1)),"")</f>
        <v/>
      </c>
      <c r="S449">
        <f t="array" ref="S449">IFERROR(INDEX($L$2:$L$501,SMALL(IF($M$2:$M$501=0,ROW($M$2:$M$501)-1),ROW()-1)),"")</f>
        <v/>
      </c>
      <c r="U449">
        <f t="array" ref="U449">IFERROR(INDEX($C$2:$C$501,SMALL(IF($D$2:$D$501="France",ROW($D$2:$D$501)-1),ROW()-1)),"")</f>
        <v/>
      </c>
      <c r="V449">
        <f t="array" ref="V449">IFERROR(INDEX($C$2:$C$501,SMALL(IF($D$2:$D$501="Germany",ROW($D$2:$D$501)-1),ROW()-1)),"")</f>
        <v/>
      </c>
      <c r="W449">
        <f t="array" ref="W449">IFERROR(INDEX($C$2:$C$501,SMALL(IF($D$2:$D$501="Spain",ROW($D$2:$D$501)-1),ROW()-1)),"")</f>
        <v/>
      </c>
    </row>
    <row r="450">
      <c r="A450" t="n">
        <v>449</v>
      </c>
      <c r="B450" t="inlineStr">
        <is>
          <t>Taylor</t>
        </is>
      </c>
      <c r="C450" t="n">
        <v>369</v>
      </c>
      <c r="D450" t="inlineStr">
        <is>
          <t>Spain</t>
        </is>
      </c>
      <c r="E450" t="inlineStr">
        <is>
          <t>Female</t>
        </is>
      </c>
      <c r="F450" t="n">
        <v>56</v>
      </c>
      <c r="G450" t="n">
        <v>7</v>
      </c>
      <c r="H450" t="n">
        <v>228816.63</v>
      </c>
      <c r="I450" t="n">
        <v>3</v>
      </c>
      <c r="J450" t="n">
        <v>1</v>
      </c>
      <c r="K450" t="n">
        <v>1</v>
      </c>
      <c r="L450" t="n">
        <v>52394</v>
      </c>
      <c r="M450" t="n">
        <v>0</v>
      </c>
      <c r="O450">
        <f>IF($M450=1,$L450,"")</f>
        <v/>
      </c>
      <c r="P450">
        <f>IF($M450=0,$L450,"")</f>
        <v/>
      </c>
      <c r="R450">
        <f t="array" ref="R450">IFERROR(INDEX($L$2:$L$501,SMALL(IF($M$2:$M$501=1,ROW($M$2:$M$501)-1),ROW()-1)),"")</f>
        <v/>
      </c>
      <c r="S450">
        <f t="array" ref="S450">IFERROR(INDEX($L$2:$L$501,SMALL(IF($M$2:$M$501=0,ROW($M$2:$M$501)-1),ROW()-1)),"")</f>
        <v/>
      </c>
      <c r="U450">
        <f t="array" ref="U450">IFERROR(INDEX($C$2:$C$501,SMALL(IF($D$2:$D$501="France",ROW($D$2:$D$501)-1),ROW()-1)),"")</f>
        <v/>
      </c>
      <c r="V450">
        <f t="array" ref="V450">IFERROR(INDEX($C$2:$C$501,SMALL(IF($D$2:$D$501="Germany",ROW($D$2:$D$501)-1),ROW()-1)),"")</f>
        <v/>
      </c>
      <c r="W450">
        <f t="array" ref="W450">IFERROR(INDEX($C$2:$C$501,SMALL(IF($D$2:$D$501="Spain",ROW($D$2:$D$501)-1),ROW()-1)),"")</f>
        <v/>
      </c>
    </row>
    <row r="451">
      <c r="A451" t="n">
        <v>450</v>
      </c>
      <c r="B451" t="inlineStr">
        <is>
          <t>Jones</t>
        </is>
      </c>
      <c r="C451" t="n">
        <v>610</v>
      </c>
      <c r="D451" t="inlineStr">
        <is>
          <t>France</t>
        </is>
      </c>
      <c r="E451" t="inlineStr">
        <is>
          <t>Female</t>
        </is>
      </c>
      <c r="F451" t="n">
        <v>60</v>
      </c>
      <c r="G451" t="n">
        <v>10</v>
      </c>
      <c r="H451" t="n">
        <v>104917.3</v>
      </c>
      <c r="I451" t="n">
        <v>2</v>
      </c>
      <c r="J451" t="n">
        <v>0</v>
      </c>
      <c r="K451" t="n">
        <v>1</v>
      </c>
      <c r="L451" t="n">
        <v>72303.2</v>
      </c>
      <c r="M451" t="n">
        <v>1</v>
      </c>
      <c r="O451">
        <f>IF($M451=1,$L451,"")</f>
        <v/>
      </c>
      <c r="P451">
        <f>IF($M451=0,$L451,"")</f>
        <v/>
      </c>
      <c r="R451">
        <f t="array" ref="R451">IFERROR(INDEX($L$2:$L$501,SMALL(IF($M$2:$M$501=1,ROW($M$2:$M$501)-1),ROW()-1)),"")</f>
        <v/>
      </c>
      <c r="S451">
        <f t="array" ref="S451">IFERROR(INDEX($L$2:$L$501,SMALL(IF($M$2:$M$501=0,ROW($M$2:$M$501)-1),ROW()-1)),"")</f>
        <v/>
      </c>
      <c r="U451">
        <f t="array" ref="U451">IFERROR(INDEX($C$2:$C$501,SMALL(IF($D$2:$D$501="France",ROW($D$2:$D$501)-1),ROW()-1)),"")</f>
        <v/>
      </c>
      <c r="V451">
        <f t="array" ref="V451">IFERROR(INDEX($C$2:$C$501,SMALL(IF($D$2:$D$501="Germany",ROW($D$2:$D$501)-1),ROW()-1)),"")</f>
        <v/>
      </c>
      <c r="W451">
        <f t="array" ref="W451">IFERROR(INDEX($C$2:$C$501,SMALL(IF($D$2:$D$501="Spain",ROW($D$2:$D$501)-1),ROW()-1)),"")</f>
        <v/>
      </c>
    </row>
    <row r="452">
      <c r="A452" t="n">
        <v>451</v>
      </c>
      <c r="B452" t="inlineStr">
        <is>
          <t>Wilson</t>
        </is>
      </c>
      <c r="C452" t="n">
        <v>498</v>
      </c>
      <c r="D452" t="inlineStr">
        <is>
          <t>Spain</t>
        </is>
      </c>
      <c r="E452" t="inlineStr">
        <is>
          <t>Female</t>
        </is>
      </c>
      <c r="F452" t="n">
        <v>54</v>
      </c>
      <c r="G452" t="n">
        <v>9</v>
      </c>
      <c r="H452" t="n">
        <v>26944.7</v>
      </c>
      <c r="I452" t="n">
        <v>4</v>
      </c>
      <c r="J452" t="n">
        <v>0</v>
      </c>
      <c r="K452" t="n">
        <v>0</v>
      </c>
      <c r="L452" t="n">
        <v>88360.27</v>
      </c>
      <c r="M452" t="n">
        <v>0</v>
      </c>
      <c r="O452">
        <f>IF($M452=1,$L452,"")</f>
        <v/>
      </c>
      <c r="P452">
        <f>IF($M452=0,$L452,"")</f>
        <v/>
      </c>
      <c r="R452">
        <f t="array" ref="R452">IFERROR(INDEX($L$2:$L$501,SMALL(IF($M$2:$M$501=1,ROW($M$2:$M$501)-1),ROW()-1)),"")</f>
        <v/>
      </c>
      <c r="S452">
        <f t="array" ref="S452">IFERROR(INDEX($L$2:$L$501,SMALL(IF($M$2:$M$501=0,ROW($M$2:$M$501)-1),ROW()-1)),"")</f>
        <v/>
      </c>
      <c r="U452">
        <f t="array" ref="U452">IFERROR(INDEX($C$2:$C$501,SMALL(IF($D$2:$D$501="France",ROW($D$2:$D$501)-1),ROW()-1)),"")</f>
        <v/>
      </c>
      <c r="V452">
        <f t="array" ref="V452">IFERROR(INDEX($C$2:$C$501,SMALL(IF($D$2:$D$501="Germany",ROW($D$2:$D$501)-1),ROW()-1)),"")</f>
        <v/>
      </c>
      <c r="W452">
        <f t="array" ref="W452">IFERROR(INDEX($C$2:$C$501,SMALL(IF($D$2:$D$501="Spain",ROW($D$2:$D$501)-1),ROW()-1)),"")</f>
        <v/>
      </c>
    </row>
    <row r="453">
      <c r="A453" t="n">
        <v>452</v>
      </c>
      <c r="B453" t="inlineStr">
        <is>
          <t>Davis</t>
        </is>
      </c>
      <c r="C453" t="n">
        <v>712</v>
      </c>
      <c r="D453" t="inlineStr">
        <is>
          <t>France</t>
        </is>
      </c>
      <c r="E453" t="inlineStr">
        <is>
          <t>Female</t>
        </is>
      </c>
      <c r="F453" t="n">
        <v>86</v>
      </c>
      <c r="G453" t="n">
        <v>0</v>
      </c>
      <c r="H453" t="n">
        <v>57728.98</v>
      </c>
      <c r="I453" t="n">
        <v>1</v>
      </c>
      <c r="J453" t="n">
        <v>1</v>
      </c>
      <c r="K453" t="n">
        <v>1</v>
      </c>
      <c r="L453" t="n">
        <v>46958.37</v>
      </c>
      <c r="M453" t="n">
        <v>0</v>
      </c>
      <c r="O453">
        <f>IF($M453=1,$L453,"")</f>
        <v/>
      </c>
      <c r="P453">
        <f>IF($M453=0,$L453,"")</f>
        <v/>
      </c>
      <c r="R453">
        <f t="array" ref="R453">IFERROR(INDEX($L$2:$L$501,SMALL(IF($M$2:$M$501=1,ROW($M$2:$M$501)-1),ROW()-1)),"")</f>
        <v/>
      </c>
      <c r="S453">
        <f t="array" ref="S453">IFERROR(INDEX($L$2:$L$501,SMALL(IF($M$2:$M$501=0,ROW($M$2:$M$501)-1),ROW()-1)),"")</f>
        <v/>
      </c>
      <c r="U453">
        <f t="array" ref="U453">IFERROR(INDEX($C$2:$C$501,SMALL(IF($D$2:$D$501="France",ROW($D$2:$D$501)-1),ROW()-1)),"")</f>
        <v/>
      </c>
      <c r="V453">
        <f t="array" ref="V453">IFERROR(INDEX($C$2:$C$501,SMALL(IF($D$2:$D$501="Germany",ROW($D$2:$D$501)-1),ROW()-1)),"")</f>
        <v/>
      </c>
      <c r="W453">
        <f t="array" ref="W453">IFERROR(INDEX($C$2:$C$501,SMALL(IF($D$2:$D$501="Spain",ROW($D$2:$D$501)-1),ROW()-1)),"")</f>
        <v/>
      </c>
    </row>
    <row r="454">
      <c r="A454" t="n">
        <v>453</v>
      </c>
      <c r="B454" t="inlineStr">
        <is>
          <t>Davis</t>
        </is>
      </c>
      <c r="C454" t="n">
        <v>424</v>
      </c>
      <c r="D454" t="inlineStr">
        <is>
          <t>France</t>
        </is>
      </c>
      <c r="E454" t="inlineStr">
        <is>
          <t>Female</t>
        </is>
      </c>
      <c r="F454" t="n">
        <v>31</v>
      </c>
      <c r="G454" t="n">
        <v>9</v>
      </c>
      <c r="H454" t="n">
        <v>236352.17</v>
      </c>
      <c r="I454" t="n">
        <v>4</v>
      </c>
      <c r="J454" t="n">
        <v>0</v>
      </c>
      <c r="K454" t="n">
        <v>0</v>
      </c>
      <c r="L454" t="n">
        <v>111036.69</v>
      </c>
      <c r="M454" t="n">
        <v>1</v>
      </c>
      <c r="O454">
        <f>IF($M454=1,$L454,"")</f>
        <v/>
      </c>
      <c r="P454">
        <f>IF($M454=0,$L454,"")</f>
        <v/>
      </c>
      <c r="R454">
        <f t="array" ref="R454">IFERROR(INDEX($L$2:$L$501,SMALL(IF($M$2:$M$501=1,ROW($M$2:$M$501)-1),ROW()-1)),"")</f>
        <v/>
      </c>
      <c r="S454">
        <f t="array" ref="S454">IFERROR(INDEX($L$2:$L$501,SMALL(IF($M$2:$M$501=0,ROW($M$2:$M$501)-1),ROW()-1)),"")</f>
        <v/>
      </c>
      <c r="U454">
        <f t="array" ref="U454">IFERROR(INDEX($C$2:$C$501,SMALL(IF($D$2:$D$501="France",ROW($D$2:$D$501)-1),ROW()-1)),"")</f>
        <v/>
      </c>
      <c r="V454">
        <f t="array" ref="V454">IFERROR(INDEX($C$2:$C$501,SMALL(IF($D$2:$D$501="Germany",ROW($D$2:$D$501)-1),ROW()-1)),"")</f>
        <v/>
      </c>
      <c r="W454">
        <f t="array" ref="W454">IFERROR(INDEX($C$2:$C$501,SMALL(IF($D$2:$D$501="Spain",ROW($D$2:$D$501)-1),ROW()-1)),"")</f>
        <v/>
      </c>
    </row>
    <row r="455">
      <c r="A455" t="n">
        <v>454</v>
      </c>
      <c r="B455" t="inlineStr">
        <is>
          <t>Moore</t>
        </is>
      </c>
      <c r="C455" t="n">
        <v>473</v>
      </c>
      <c r="D455" t="inlineStr">
        <is>
          <t>Germany</t>
        </is>
      </c>
      <c r="E455" t="inlineStr">
        <is>
          <t>Male</t>
        </is>
      </c>
      <c r="F455" t="n">
        <v>31</v>
      </c>
      <c r="G455" t="n">
        <v>4</v>
      </c>
      <c r="H455" t="n">
        <v>148788.01</v>
      </c>
      <c r="I455" t="n">
        <v>2</v>
      </c>
      <c r="J455" t="n">
        <v>1</v>
      </c>
      <c r="K455" t="n">
        <v>1</v>
      </c>
      <c r="L455" t="n">
        <v>13370.94</v>
      </c>
      <c r="M455" t="n">
        <v>1</v>
      </c>
      <c r="O455">
        <f>IF($M455=1,$L455,"")</f>
        <v/>
      </c>
      <c r="P455">
        <f>IF($M455=0,$L455,"")</f>
        <v/>
      </c>
      <c r="R455">
        <f t="array" ref="R455">IFERROR(INDEX($L$2:$L$501,SMALL(IF($M$2:$M$501=1,ROW($M$2:$M$501)-1),ROW()-1)),"")</f>
        <v/>
      </c>
      <c r="S455">
        <f t="array" ref="S455">IFERROR(INDEX($L$2:$L$501,SMALL(IF($M$2:$M$501=0,ROW($M$2:$M$501)-1),ROW()-1)),"")</f>
        <v/>
      </c>
      <c r="U455">
        <f t="array" ref="U455">IFERROR(INDEX($C$2:$C$501,SMALL(IF($D$2:$D$501="France",ROW($D$2:$D$501)-1),ROW()-1)),"")</f>
        <v/>
      </c>
      <c r="V455">
        <f t="array" ref="V455">IFERROR(INDEX($C$2:$C$501,SMALL(IF($D$2:$D$501="Germany",ROW($D$2:$D$501)-1),ROW()-1)),"")</f>
        <v/>
      </c>
      <c r="W455">
        <f t="array" ref="W455">IFERROR(INDEX($C$2:$C$501,SMALL(IF($D$2:$D$501="Spain",ROW($D$2:$D$501)-1),ROW()-1)),"")</f>
        <v/>
      </c>
    </row>
    <row r="456">
      <c r="A456" t="n">
        <v>455</v>
      </c>
      <c r="B456" t="inlineStr">
        <is>
          <t>Smith</t>
        </is>
      </c>
      <c r="C456" t="n">
        <v>801</v>
      </c>
      <c r="D456" t="inlineStr">
        <is>
          <t>Spain</t>
        </is>
      </c>
      <c r="E456" t="inlineStr">
        <is>
          <t>Female</t>
        </is>
      </c>
      <c r="F456" t="n">
        <v>59</v>
      </c>
      <c r="G456" t="n">
        <v>8</v>
      </c>
      <c r="H456" t="n">
        <v>88835.64999999999</v>
      </c>
      <c r="I456" t="n">
        <v>2</v>
      </c>
      <c r="J456" t="n">
        <v>1</v>
      </c>
      <c r="K456" t="n">
        <v>0</v>
      </c>
      <c r="L456" t="n">
        <v>141964.46</v>
      </c>
      <c r="M456" t="n">
        <v>0</v>
      </c>
      <c r="O456">
        <f>IF($M456=1,$L456,"")</f>
        <v/>
      </c>
      <c r="P456">
        <f>IF($M456=0,$L456,"")</f>
        <v/>
      </c>
      <c r="R456">
        <f t="array" ref="R456">IFERROR(INDEX($L$2:$L$501,SMALL(IF($M$2:$M$501=1,ROW($M$2:$M$501)-1),ROW()-1)),"")</f>
        <v/>
      </c>
      <c r="S456">
        <f t="array" ref="S456">IFERROR(INDEX($L$2:$L$501,SMALL(IF($M$2:$M$501=0,ROW($M$2:$M$501)-1),ROW()-1)),"")</f>
        <v/>
      </c>
      <c r="U456">
        <f t="array" ref="U456">IFERROR(INDEX($C$2:$C$501,SMALL(IF($D$2:$D$501="France",ROW($D$2:$D$501)-1),ROW()-1)),"")</f>
        <v/>
      </c>
      <c r="V456">
        <f t="array" ref="V456">IFERROR(INDEX($C$2:$C$501,SMALL(IF($D$2:$D$501="Germany",ROW($D$2:$D$501)-1),ROW()-1)),"")</f>
        <v/>
      </c>
      <c r="W456">
        <f t="array" ref="W456">IFERROR(INDEX($C$2:$C$501,SMALL(IF($D$2:$D$501="Spain",ROW($D$2:$D$501)-1),ROW()-1)),"")</f>
        <v/>
      </c>
    </row>
    <row r="457">
      <c r="A457" t="n">
        <v>456</v>
      </c>
      <c r="B457" t="inlineStr">
        <is>
          <t>Moore</t>
        </is>
      </c>
      <c r="C457" t="n">
        <v>564</v>
      </c>
      <c r="D457" t="inlineStr">
        <is>
          <t>Germany</t>
        </is>
      </c>
      <c r="E457" t="inlineStr">
        <is>
          <t>Female</t>
        </is>
      </c>
      <c r="F457" t="n">
        <v>90</v>
      </c>
      <c r="G457" t="n">
        <v>5</v>
      </c>
      <c r="H457" t="n">
        <v>223177.88</v>
      </c>
      <c r="I457" t="n">
        <v>3</v>
      </c>
      <c r="J457" t="n">
        <v>1</v>
      </c>
      <c r="K457" t="n">
        <v>1</v>
      </c>
      <c r="L457" t="n">
        <v>111640.94</v>
      </c>
      <c r="M457" t="n">
        <v>0</v>
      </c>
      <c r="O457">
        <f>IF($M457=1,$L457,"")</f>
        <v/>
      </c>
      <c r="P457">
        <f>IF($M457=0,$L457,"")</f>
        <v/>
      </c>
      <c r="R457">
        <f t="array" ref="R457">IFERROR(INDEX($L$2:$L$501,SMALL(IF($M$2:$M$501=1,ROW($M$2:$M$501)-1),ROW()-1)),"")</f>
        <v/>
      </c>
      <c r="S457">
        <f t="array" ref="S457">IFERROR(INDEX($L$2:$L$501,SMALL(IF($M$2:$M$501=0,ROW($M$2:$M$501)-1),ROW()-1)),"")</f>
        <v/>
      </c>
      <c r="U457">
        <f t="array" ref="U457">IFERROR(INDEX($C$2:$C$501,SMALL(IF($D$2:$D$501="France",ROW($D$2:$D$501)-1),ROW()-1)),"")</f>
        <v/>
      </c>
      <c r="V457">
        <f t="array" ref="V457">IFERROR(INDEX($C$2:$C$501,SMALL(IF($D$2:$D$501="Germany",ROW($D$2:$D$501)-1),ROW()-1)),"")</f>
        <v/>
      </c>
      <c r="W457">
        <f t="array" ref="W457">IFERROR(INDEX($C$2:$C$501,SMALL(IF($D$2:$D$501="Spain",ROW($D$2:$D$501)-1),ROW()-1)),"")</f>
        <v/>
      </c>
    </row>
    <row r="458">
      <c r="A458" t="n">
        <v>457</v>
      </c>
      <c r="B458" t="inlineStr">
        <is>
          <t>Jones</t>
        </is>
      </c>
      <c r="C458" t="n">
        <v>666</v>
      </c>
      <c r="D458" t="inlineStr">
        <is>
          <t>France</t>
        </is>
      </c>
      <c r="E458" t="inlineStr">
        <is>
          <t>Male</t>
        </is>
      </c>
      <c r="F458" t="n">
        <v>24</v>
      </c>
      <c r="G458" t="n">
        <v>2</v>
      </c>
      <c r="H458" t="n">
        <v>75143.55</v>
      </c>
      <c r="I458" t="n">
        <v>1</v>
      </c>
      <c r="J458" t="n">
        <v>1</v>
      </c>
      <c r="K458" t="n">
        <v>0</v>
      </c>
      <c r="L458" t="n">
        <v>132228.18</v>
      </c>
      <c r="M458" t="n">
        <v>0</v>
      </c>
      <c r="O458">
        <f>IF($M458=1,$L458,"")</f>
        <v/>
      </c>
      <c r="P458">
        <f>IF($M458=0,$L458,"")</f>
        <v/>
      </c>
      <c r="R458">
        <f t="array" ref="R458">IFERROR(INDEX($L$2:$L$501,SMALL(IF($M$2:$M$501=1,ROW($M$2:$M$501)-1),ROW()-1)),"")</f>
        <v/>
      </c>
      <c r="S458">
        <f t="array" ref="S458">IFERROR(INDEX($L$2:$L$501,SMALL(IF($M$2:$M$501=0,ROW($M$2:$M$501)-1),ROW()-1)),"")</f>
        <v/>
      </c>
      <c r="U458">
        <f t="array" ref="U458">IFERROR(INDEX($C$2:$C$501,SMALL(IF($D$2:$D$501="France",ROW($D$2:$D$501)-1),ROW()-1)),"")</f>
        <v/>
      </c>
      <c r="V458">
        <f t="array" ref="V458">IFERROR(INDEX($C$2:$C$501,SMALL(IF($D$2:$D$501="Germany",ROW($D$2:$D$501)-1),ROW()-1)),"")</f>
        <v/>
      </c>
      <c r="W458">
        <f t="array" ref="W458">IFERROR(INDEX($C$2:$C$501,SMALL(IF($D$2:$D$501="Spain",ROW($D$2:$D$501)-1),ROW()-1)),"")</f>
        <v/>
      </c>
    </row>
    <row r="459">
      <c r="A459" t="n">
        <v>458</v>
      </c>
      <c r="B459" t="inlineStr">
        <is>
          <t>Miller</t>
        </is>
      </c>
      <c r="C459" t="n">
        <v>579</v>
      </c>
      <c r="D459" t="inlineStr">
        <is>
          <t>Spain</t>
        </is>
      </c>
      <c r="E459" t="inlineStr">
        <is>
          <t>Female</t>
        </is>
      </c>
      <c r="F459" t="n">
        <v>30</v>
      </c>
      <c r="G459" t="n">
        <v>5</v>
      </c>
      <c r="H459" t="n">
        <v>220273.68</v>
      </c>
      <c r="I459" t="n">
        <v>4</v>
      </c>
      <c r="J459" t="n">
        <v>0</v>
      </c>
      <c r="K459" t="n">
        <v>0</v>
      </c>
      <c r="L459" t="n">
        <v>57395.97</v>
      </c>
      <c r="M459" t="n">
        <v>0</v>
      </c>
      <c r="O459">
        <f>IF($M459=1,$L459,"")</f>
        <v/>
      </c>
      <c r="P459">
        <f>IF($M459=0,$L459,"")</f>
        <v/>
      </c>
      <c r="R459">
        <f t="array" ref="R459">IFERROR(INDEX($L$2:$L$501,SMALL(IF($M$2:$M$501=1,ROW($M$2:$M$501)-1),ROW()-1)),"")</f>
        <v/>
      </c>
      <c r="S459">
        <f t="array" ref="S459">IFERROR(INDEX($L$2:$L$501,SMALL(IF($M$2:$M$501=0,ROW($M$2:$M$501)-1),ROW()-1)),"")</f>
        <v/>
      </c>
      <c r="U459">
        <f t="array" ref="U459">IFERROR(INDEX($C$2:$C$501,SMALL(IF($D$2:$D$501="France",ROW($D$2:$D$501)-1),ROW()-1)),"")</f>
        <v/>
      </c>
      <c r="V459">
        <f t="array" ref="V459">IFERROR(INDEX($C$2:$C$501,SMALL(IF($D$2:$D$501="Germany",ROW($D$2:$D$501)-1),ROW()-1)),"")</f>
        <v/>
      </c>
      <c r="W459">
        <f t="array" ref="W459">IFERROR(INDEX($C$2:$C$501,SMALL(IF($D$2:$D$501="Spain",ROW($D$2:$D$501)-1),ROW()-1)),"")</f>
        <v/>
      </c>
    </row>
    <row r="460">
      <c r="A460" t="n">
        <v>459</v>
      </c>
      <c r="B460" t="inlineStr">
        <is>
          <t>Taylor</t>
        </is>
      </c>
      <c r="C460" t="n">
        <v>600</v>
      </c>
      <c r="D460" t="inlineStr">
        <is>
          <t>Spain</t>
        </is>
      </c>
      <c r="E460" t="inlineStr">
        <is>
          <t>Male</t>
        </is>
      </c>
      <c r="F460" t="n">
        <v>21</v>
      </c>
      <c r="G460" t="n">
        <v>4</v>
      </c>
      <c r="H460" t="n">
        <v>30283.43</v>
      </c>
      <c r="I460" t="n">
        <v>1</v>
      </c>
      <c r="J460" t="n">
        <v>0</v>
      </c>
      <c r="K460" t="n">
        <v>0</v>
      </c>
      <c r="L460" t="n">
        <v>140478.74</v>
      </c>
      <c r="M460" t="n">
        <v>1</v>
      </c>
      <c r="O460">
        <f>IF($M460=1,$L460,"")</f>
        <v/>
      </c>
      <c r="P460">
        <f>IF($M460=0,$L460,"")</f>
        <v/>
      </c>
      <c r="R460">
        <f t="array" ref="R460">IFERROR(INDEX($L$2:$L$501,SMALL(IF($M$2:$M$501=1,ROW($M$2:$M$501)-1),ROW()-1)),"")</f>
        <v/>
      </c>
      <c r="S460">
        <f t="array" ref="S460">IFERROR(INDEX($L$2:$L$501,SMALL(IF($M$2:$M$501=0,ROW($M$2:$M$501)-1),ROW()-1)),"")</f>
        <v/>
      </c>
      <c r="U460">
        <f t="array" ref="U460">IFERROR(INDEX($C$2:$C$501,SMALL(IF($D$2:$D$501="France",ROW($D$2:$D$501)-1),ROW()-1)),"")</f>
        <v/>
      </c>
      <c r="V460">
        <f t="array" ref="V460">IFERROR(INDEX($C$2:$C$501,SMALL(IF($D$2:$D$501="Germany",ROW($D$2:$D$501)-1),ROW()-1)),"")</f>
        <v/>
      </c>
      <c r="W460">
        <f t="array" ref="W460">IFERROR(INDEX($C$2:$C$501,SMALL(IF($D$2:$D$501="Spain",ROW($D$2:$D$501)-1),ROW()-1)),"")</f>
        <v/>
      </c>
    </row>
    <row r="461">
      <c r="A461" t="n">
        <v>460</v>
      </c>
      <c r="B461" t="inlineStr">
        <is>
          <t>Jones</t>
        </is>
      </c>
      <c r="C461" t="n">
        <v>443</v>
      </c>
      <c r="D461" t="inlineStr">
        <is>
          <t>Spain</t>
        </is>
      </c>
      <c r="E461" t="inlineStr">
        <is>
          <t>Female</t>
        </is>
      </c>
      <c r="F461" t="n">
        <v>34</v>
      </c>
      <c r="G461" t="n">
        <v>1</v>
      </c>
      <c r="H461" t="n">
        <v>234557.34</v>
      </c>
      <c r="I461" t="n">
        <v>2</v>
      </c>
      <c r="J461" t="n">
        <v>0</v>
      </c>
      <c r="K461" t="n">
        <v>1</v>
      </c>
      <c r="L461" t="n">
        <v>148617.01</v>
      </c>
      <c r="M461" t="n">
        <v>1</v>
      </c>
      <c r="O461">
        <f>IF($M461=1,$L461,"")</f>
        <v/>
      </c>
      <c r="P461">
        <f>IF($M461=0,$L461,"")</f>
        <v/>
      </c>
      <c r="R461">
        <f t="array" ref="R461">IFERROR(INDEX($L$2:$L$501,SMALL(IF($M$2:$M$501=1,ROW($M$2:$M$501)-1),ROW()-1)),"")</f>
        <v/>
      </c>
      <c r="S461">
        <f t="array" ref="S461">IFERROR(INDEX($L$2:$L$501,SMALL(IF($M$2:$M$501=0,ROW($M$2:$M$501)-1),ROW()-1)),"")</f>
        <v/>
      </c>
      <c r="U461">
        <f t="array" ref="U461">IFERROR(INDEX($C$2:$C$501,SMALL(IF($D$2:$D$501="France",ROW($D$2:$D$501)-1),ROW()-1)),"")</f>
        <v/>
      </c>
      <c r="V461">
        <f t="array" ref="V461">IFERROR(INDEX($C$2:$C$501,SMALL(IF($D$2:$D$501="Germany",ROW($D$2:$D$501)-1),ROW()-1)),"")</f>
        <v/>
      </c>
      <c r="W461">
        <f t="array" ref="W461">IFERROR(INDEX($C$2:$C$501,SMALL(IF($D$2:$D$501="Spain",ROW($D$2:$D$501)-1),ROW()-1)),"")</f>
        <v/>
      </c>
    </row>
    <row r="462">
      <c r="A462" t="n">
        <v>461</v>
      </c>
      <c r="B462" t="inlineStr">
        <is>
          <t>Williams</t>
        </is>
      </c>
      <c r="C462" t="n">
        <v>519</v>
      </c>
      <c r="D462" t="inlineStr">
        <is>
          <t>Spain</t>
        </is>
      </c>
      <c r="E462" t="inlineStr">
        <is>
          <t>Male</t>
        </is>
      </c>
      <c r="F462" t="n">
        <v>23</v>
      </c>
      <c r="G462" t="n">
        <v>0</v>
      </c>
      <c r="H462" t="n">
        <v>234421.59</v>
      </c>
      <c r="I462" t="n">
        <v>4</v>
      </c>
      <c r="J462" t="n">
        <v>1</v>
      </c>
      <c r="K462" t="n">
        <v>0</v>
      </c>
      <c r="L462" t="n">
        <v>35122.36</v>
      </c>
      <c r="M462" t="n">
        <v>1</v>
      </c>
      <c r="O462">
        <f>IF($M462=1,$L462,"")</f>
        <v/>
      </c>
      <c r="P462">
        <f>IF($M462=0,$L462,"")</f>
        <v/>
      </c>
      <c r="R462">
        <f t="array" ref="R462">IFERROR(INDEX($L$2:$L$501,SMALL(IF($M$2:$M$501=1,ROW($M$2:$M$501)-1),ROW()-1)),"")</f>
        <v/>
      </c>
      <c r="S462">
        <f t="array" ref="S462">IFERROR(INDEX($L$2:$L$501,SMALL(IF($M$2:$M$501=0,ROW($M$2:$M$501)-1),ROW()-1)),"")</f>
        <v/>
      </c>
      <c r="U462">
        <f t="array" ref="U462">IFERROR(INDEX($C$2:$C$501,SMALL(IF($D$2:$D$501="France",ROW($D$2:$D$501)-1),ROW()-1)),"")</f>
        <v/>
      </c>
      <c r="V462">
        <f t="array" ref="V462">IFERROR(INDEX($C$2:$C$501,SMALL(IF($D$2:$D$501="Germany",ROW($D$2:$D$501)-1),ROW()-1)),"")</f>
        <v/>
      </c>
      <c r="W462">
        <f t="array" ref="W462">IFERROR(INDEX($C$2:$C$501,SMALL(IF($D$2:$D$501="Spain",ROW($D$2:$D$501)-1),ROW()-1)),"")</f>
        <v/>
      </c>
    </row>
    <row r="463">
      <c r="A463" t="n">
        <v>462</v>
      </c>
      <c r="B463" t="inlineStr">
        <is>
          <t>Wilson</t>
        </is>
      </c>
      <c r="C463" t="n">
        <v>390</v>
      </c>
      <c r="D463" t="inlineStr">
        <is>
          <t>Spain</t>
        </is>
      </c>
      <c r="E463" t="inlineStr">
        <is>
          <t>Female</t>
        </is>
      </c>
      <c r="F463" t="n">
        <v>58</v>
      </c>
      <c r="G463" t="n">
        <v>2</v>
      </c>
      <c r="H463" t="n">
        <v>86317.46000000001</v>
      </c>
      <c r="I463" t="n">
        <v>3</v>
      </c>
      <c r="J463" t="n">
        <v>0</v>
      </c>
      <c r="K463" t="n">
        <v>0</v>
      </c>
      <c r="L463" t="n">
        <v>90411.33</v>
      </c>
      <c r="M463" t="n">
        <v>1</v>
      </c>
      <c r="O463">
        <f>IF($M463=1,$L463,"")</f>
        <v/>
      </c>
      <c r="P463">
        <f>IF($M463=0,$L463,"")</f>
        <v/>
      </c>
      <c r="R463">
        <f t="array" ref="R463">IFERROR(INDEX($L$2:$L$501,SMALL(IF($M$2:$M$501=1,ROW($M$2:$M$501)-1),ROW()-1)),"")</f>
        <v/>
      </c>
      <c r="S463">
        <f t="array" ref="S463">IFERROR(INDEX($L$2:$L$501,SMALL(IF($M$2:$M$501=0,ROW($M$2:$M$501)-1),ROW()-1)),"")</f>
        <v/>
      </c>
      <c r="U463">
        <f t="array" ref="U463">IFERROR(INDEX($C$2:$C$501,SMALL(IF($D$2:$D$501="France",ROW($D$2:$D$501)-1),ROW()-1)),"")</f>
        <v/>
      </c>
      <c r="V463">
        <f t="array" ref="V463">IFERROR(INDEX($C$2:$C$501,SMALL(IF($D$2:$D$501="Germany",ROW($D$2:$D$501)-1),ROW()-1)),"")</f>
        <v/>
      </c>
      <c r="W463">
        <f t="array" ref="W463">IFERROR(INDEX($C$2:$C$501,SMALL(IF($D$2:$D$501="Spain",ROW($D$2:$D$501)-1),ROW()-1)),"")</f>
        <v/>
      </c>
    </row>
    <row r="464">
      <c r="A464" t="n">
        <v>463</v>
      </c>
      <c r="B464" t="inlineStr">
        <is>
          <t>Smith</t>
        </is>
      </c>
      <c r="C464" t="n">
        <v>538</v>
      </c>
      <c r="D464" t="inlineStr">
        <is>
          <t>Spain</t>
        </is>
      </c>
      <c r="E464" t="inlineStr">
        <is>
          <t>Male</t>
        </is>
      </c>
      <c r="F464" t="n">
        <v>73</v>
      </c>
      <c r="G464" t="n">
        <v>5</v>
      </c>
      <c r="H464" t="n">
        <v>4387.19</v>
      </c>
      <c r="I464" t="n">
        <v>2</v>
      </c>
      <c r="J464" t="n">
        <v>1</v>
      </c>
      <c r="K464" t="n">
        <v>0</v>
      </c>
      <c r="L464" t="n">
        <v>131348.78</v>
      </c>
      <c r="M464" t="n">
        <v>1</v>
      </c>
      <c r="O464">
        <f>IF($M464=1,$L464,"")</f>
        <v/>
      </c>
      <c r="P464">
        <f>IF($M464=0,$L464,"")</f>
        <v/>
      </c>
      <c r="R464">
        <f t="array" ref="R464">IFERROR(INDEX($L$2:$L$501,SMALL(IF($M$2:$M$501=1,ROW($M$2:$M$501)-1),ROW()-1)),"")</f>
        <v/>
      </c>
      <c r="S464">
        <f t="array" ref="S464">IFERROR(INDEX($L$2:$L$501,SMALL(IF($M$2:$M$501=0,ROW($M$2:$M$501)-1),ROW()-1)),"")</f>
        <v/>
      </c>
      <c r="U464">
        <f t="array" ref="U464">IFERROR(INDEX($C$2:$C$501,SMALL(IF($D$2:$D$501="France",ROW($D$2:$D$501)-1),ROW()-1)),"")</f>
        <v/>
      </c>
      <c r="V464">
        <f t="array" ref="V464">IFERROR(INDEX($C$2:$C$501,SMALL(IF($D$2:$D$501="Germany",ROW($D$2:$D$501)-1),ROW()-1)),"")</f>
        <v/>
      </c>
      <c r="W464">
        <f t="array" ref="W464">IFERROR(INDEX($C$2:$C$501,SMALL(IF($D$2:$D$501="Spain",ROW($D$2:$D$501)-1),ROW()-1)),"")</f>
        <v/>
      </c>
    </row>
    <row r="465">
      <c r="A465" t="n">
        <v>464</v>
      </c>
      <c r="B465" t="inlineStr">
        <is>
          <t>Jones</t>
        </is>
      </c>
      <c r="C465" t="n">
        <v>559</v>
      </c>
      <c r="D465" t="inlineStr">
        <is>
          <t>France</t>
        </is>
      </c>
      <c r="E465" t="inlineStr">
        <is>
          <t>Female</t>
        </is>
      </c>
      <c r="F465" t="n">
        <v>47</v>
      </c>
      <c r="G465" t="n">
        <v>4</v>
      </c>
      <c r="H465" t="n">
        <v>88260.36</v>
      </c>
      <c r="I465" t="n">
        <v>3</v>
      </c>
      <c r="J465" t="n">
        <v>0</v>
      </c>
      <c r="K465" t="n">
        <v>1</v>
      </c>
      <c r="L465" t="n">
        <v>16813.42</v>
      </c>
      <c r="M465" t="n">
        <v>1</v>
      </c>
      <c r="O465">
        <f>IF($M465=1,$L465,"")</f>
        <v/>
      </c>
      <c r="P465">
        <f>IF($M465=0,$L465,"")</f>
        <v/>
      </c>
      <c r="R465">
        <f t="array" ref="R465">IFERROR(INDEX($L$2:$L$501,SMALL(IF($M$2:$M$501=1,ROW($M$2:$M$501)-1),ROW()-1)),"")</f>
        <v/>
      </c>
      <c r="S465">
        <f t="array" ref="S465">IFERROR(INDEX($L$2:$L$501,SMALL(IF($M$2:$M$501=0,ROW($M$2:$M$501)-1),ROW()-1)),"")</f>
        <v/>
      </c>
      <c r="U465">
        <f t="array" ref="U465">IFERROR(INDEX($C$2:$C$501,SMALL(IF($D$2:$D$501="France",ROW($D$2:$D$501)-1),ROW()-1)),"")</f>
        <v/>
      </c>
      <c r="V465">
        <f t="array" ref="V465">IFERROR(INDEX($C$2:$C$501,SMALL(IF($D$2:$D$501="Germany",ROW($D$2:$D$501)-1),ROW()-1)),"")</f>
        <v/>
      </c>
      <c r="W465">
        <f t="array" ref="W465">IFERROR(INDEX($C$2:$C$501,SMALL(IF($D$2:$D$501="Spain",ROW($D$2:$D$501)-1),ROW()-1)),"")</f>
        <v/>
      </c>
    </row>
    <row r="466">
      <c r="A466" t="n">
        <v>465</v>
      </c>
      <c r="B466" t="inlineStr">
        <is>
          <t>Smith</t>
        </is>
      </c>
      <c r="C466" t="n">
        <v>529</v>
      </c>
      <c r="D466" t="inlineStr">
        <is>
          <t>Spain</t>
        </is>
      </c>
      <c r="E466" t="inlineStr">
        <is>
          <t>Male</t>
        </is>
      </c>
      <c r="F466" t="n">
        <v>71</v>
      </c>
      <c r="G466" t="n">
        <v>2</v>
      </c>
      <c r="H466" t="n">
        <v>45202.75</v>
      </c>
      <c r="I466" t="n">
        <v>4</v>
      </c>
      <c r="J466" t="n">
        <v>1</v>
      </c>
      <c r="K466" t="n">
        <v>0</v>
      </c>
      <c r="L466" t="n">
        <v>118614.97</v>
      </c>
      <c r="M466" t="n">
        <v>0</v>
      </c>
      <c r="O466">
        <f>IF($M466=1,$L466,"")</f>
        <v/>
      </c>
      <c r="P466">
        <f>IF($M466=0,$L466,"")</f>
        <v/>
      </c>
      <c r="R466">
        <f t="array" ref="R466">IFERROR(INDEX($L$2:$L$501,SMALL(IF($M$2:$M$501=1,ROW($M$2:$M$501)-1),ROW()-1)),"")</f>
        <v/>
      </c>
      <c r="S466">
        <f t="array" ref="S466">IFERROR(INDEX($L$2:$L$501,SMALL(IF($M$2:$M$501=0,ROW($M$2:$M$501)-1),ROW()-1)),"")</f>
        <v/>
      </c>
      <c r="U466">
        <f t="array" ref="U466">IFERROR(INDEX($C$2:$C$501,SMALL(IF($D$2:$D$501="France",ROW($D$2:$D$501)-1),ROW()-1)),"")</f>
        <v/>
      </c>
      <c r="V466">
        <f t="array" ref="V466">IFERROR(INDEX($C$2:$C$501,SMALL(IF($D$2:$D$501="Germany",ROW($D$2:$D$501)-1),ROW()-1)),"")</f>
        <v/>
      </c>
      <c r="W466">
        <f t="array" ref="W466">IFERROR(INDEX($C$2:$C$501,SMALL(IF($D$2:$D$501="Spain",ROW($D$2:$D$501)-1),ROW()-1)),"")</f>
        <v/>
      </c>
    </row>
    <row r="467">
      <c r="A467" t="n">
        <v>466</v>
      </c>
      <c r="B467" t="inlineStr">
        <is>
          <t>Jones</t>
        </is>
      </c>
      <c r="C467" t="n">
        <v>646</v>
      </c>
      <c r="D467" t="inlineStr">
        <is>
          <t>France</t>
        </is>
      </c>
      <c r="E467" t="inlineStr">
        <is>
          <t>Female</t>
        </is>
      </c>
      <c r="F467" t="n">
        <v>40</v>
      </c>
      <c r="G467" t="n">
        <v>7</v>
      </c>
      <c r="H467" t="n">
        <v>66516.78</v>
      </c>
      <c r="I467" t="n">
        <v>4</v>
      </c>
      <c r="J467" t="n">
        <v>1</v>
      </c>
      <c r="K467" t="n">
        <v>0</v>
      </c>
      <c r="L467" t="n">
        <v>14893.47</v>
      </c>
      <c r="M467" t="n">
        <v>1</v>
      </c>
      <c r="O467">
        <f>IF($M467=1,$L467,"")</f>
        <v/>
      </c>
      <c r="P467">
        <f>IF($M467=0,$L467,"")</f>
        <v/>
      </c>
      <c r="R467">
        <f t="array" ref="R467">IFERROR(INDEX($L$2:$L$501,SMALL(IF($M$2:$M$501=1,ROW($M$2:$M$501)-1),ROW()-1)),"")</f>
        <v/>
      </c>
      <c r="S467">
        <f t="array" ref="S467">IFERROR(INDEX($L$2:$L$501,SMALL(IF($M$2:$M$501=0,ROW($M$2:$M$501)-1),ROW()-1)),"")</f>
        <v/>
      </c>
      <c r="U467">
        <f t="array" ref="U467">IFERROR(INDEX($C$2:$C$501,SMALL(IF($D$2:$D$501="France",ROW($D$2:$D$501)-1),ROW()-1)),"")</f>
        <v/>
      </c>
      <c r="V467">
        <f t="array" ref="V467">IFERROR(INDEX($C$2:$C$501,SMALL(IF($D$2:$D$501="Germany",ROW($D$2:$D$501)-1),ROW()-1)),"")</f>
        <v/>
      </c>
      <c r="W467">
        <f t="array" ref="W467">IFERROR(INDEX($C$2:$C$501,SMALL(IF($D$2:$D$501="Spain",ROW($D$2:$D$501)-1),ROW()-1)),"")</f>
        <v/>
      </c>
    </row>
    <row r="468">
      <c r="A468" t="n">
        <v>467</v>
      </c>
      <c r="B468" t="inlineStr">
        <is>
          <t>Miller</t>
        </is>
      </c>
      <c r="C468" t="n">
        <v>409</v>
      </c>
      <c r="D468" t="inlineStr">
        <is>
          <t>Germany</t>
        </is>
      </c>
      <c r="E468" t="inlineStr">
        <is>
          <t>Female</t>
        </is>
      </c>
      <c r="F468" t="n">
        <v>41</v>
      </c>
      <c r="G468" t="n">
        <v>3</v>
      </c>
      <c r="H468" t="n">
        <v>156420.72</v>
      </c>
      <c r="I468" t="n">
        <v>2</v>
      </c>
      <c r="J468" t="n">
        <v>1</v>
      </c>
      <c r="K468" t="n">
        <v>1</v>
      </c>
      <c r="L468" t="n">
        <v>101660.52</v>
      </c>
      <c r="M468" t="n">
        <v>0</v>
      </c>
      <c r="O468">
        <f>IF($M468=1,$L468,"")</f>
        <v/>
      </c>
      <c r="P468">
        <f>IF($M468=0,$L468,"")</f>
        <v/>
      </c>
      <c r="R468">
        <f t="array" ref="R468">IFERROR(INDEX($L$2:$L$501,SMALL(IF($M$2:$M$501=1,ROW($M$2:$M$501)-1),ROW()-1)),"")</f>
        <v/>
      </c>
      <c r="S468">
        <f t="array" ref="S468">IFERROR(INDEX($L$2:$L$501,SMALL(IF($M$2:$M$501=0,ROW($M$2:$M$501)-1),ROW()-1)),"")</f>
        <v/>
      </c>
      <c r="U468">
        <f t="array" ref="U468">IFERROR(INDEX($C$2:$C$501,SMALL(IF($D$2:$D$501="France",ROW($D$2:$D$501)-1),ROW()-1)),"")</f>
        <v/>
      </c>
      <c r="V468">
        <f t="array" ref="V468">IFERROR(INDEX($C$2:$C$501,SMALL(IF($D$2:$D$501="Germany",ROW($D$2:$D$501)-1),ROW()-1)),"")</f>
        <v/>
      </c>
      <c r="W468">
        <f t="array" ref="W468">IFERROR(INDEX($C$2:$C$501,SMALL(IF($D$2:$D$501="Spain",ROW($D$2:$D$501)-1),ROW()-1)),"")</f>
        <v/>
      </c>
    </row>
    <row r="469">
      <c r="A469" t="n">
        <v>468</v>
      </c>
      <c r="B469" t="inlineStr">
        <is>
          <t>Johnson</t>
        </is>
      </c>
      <c r="C469" t="n">
        <v>840</v>
      </c>
      <c r="D469" t="inlineStr">
        <is>
          <t>France</t>
        </is>
      </c>
      <c r="E469" t="inlineStr">
        <is>
          <t>Male</t>
        </is>
      </c>
      <c r="F469" t="n">
        <v>54</v>
      </c>
      <c r="G469" t="n">
        <v>5</v>
      </c>
      <c r="H469" t="n">
        <v>110774.55</v>
      </c>
      <c r="I469" t="n">
        <v>2</v>
      </c>
      <c r="J469" t="n">
        <v>0</v>
      </c>
      <c r="K469" t="n">
        <v>0</v>
      </c>
      <c r="L469" t="n">
        <v>23399.15</v>
      </c>
      <c r="M469" t="n">
        <v>1</v>
      </c>
      <c r="O469">
        <f>IF($M469=1,$L469,"")</f>
        <v/>
      </c>
      <c r="P469">
        <f>IF($M469=0,$L469,"")</f>
        <v/>
      </c>
      <c r="R469">
        <f t="array" ref="R469">IFERROR(INDEX($L$2:$L$501,SMALL(IF($M$2:$M$501=1,ROW($M$2:$M$501)-1),ROW()-1)),"")</f>
        <v/>
      </c>
      <c r="S469">
        <f t="array" ref="S469">IFERROR(INDEX($L$2:$L$501,SMALL(IF($M$2:$M$501=0,ROW($M$2:$M$501)-1),ROW()-1)),"")</f>
        <v/>
      </c>
      <c r="U469">
        <f t="array" ref="U469">IFERROR(INDEX($C$2:$C$501,SMALL(IF($D$2:$D$501="France",ROW($D$2:$D$501)-1),ROW()-1)),"")</f>
        <v/>
      </c>
      <c r="V469">
        <f t="array" ref="V469">IFERROR(INDEX($C$2:$C$501,SMALL(IF($D$2:$D$501="Germany",ROW($D$2:$D$501)-1),ROW()-1)),"")</f>
        <v/>
      </c>
      <c r="W469">
        <f t="array" ref="W469">IFERROR(INDEX($C$2:$C$501,SMALL(IF($D$2:$D$501="Spain",ROW($D$2:$D$501)-1),ROW()-1)),"")</f>
        <v/>
      </c>
    </row>
    <row r="470">
      <c r="A470" t="n">
        <v>469</v>
      </c>
      <c r="B470" t="inlineStr">
        <is>
          <t>Taylor</t>
        </is>
      </c>
      <c r="C470" t="n">
        <v>828</v>
      </c>
      <c r="D470" t="inlineStr">
        <is>
          <t>Germany</t>
        </is>
      </c>
      <c r="E470" t="inlineStr">
        <is>
          <t>Male</t>
        </is>
      </c>
      <c r="F470" t="n">
        <v>77</v>
      </c>
      <c r="G470" t="n">
        <v>10</v>
      </c>
      <c r="H470" t="n">
        <v>184078.17</v>
      </c>
      <c r="I470" t="n">
        <v>3</v>
      </c>
      <c r="J470" t="n">
        <v>1</v>
      </c>
      <c r="K470" t="n">
        <v>1</v>
      </c>
      <c r="L470" t="n">
        <v>24061.04</v>
      </c>
      <c r="M470" t="n">
        <v>1</v>
      </c>
      <c r="O470">
        <f>IF($M470=1,$L470,"")</f>
        <v/>
      </c>
      <c r="P470">
        <f>IF($M470=0,$L470,"")</f>
        <v/>
      </c>
      <c r="R470">
        <f t="array" ref="R470">IFERROR(INDEX($L$2:$L$501,SMALL(IF($M$2:$M$501=1,ROW($M$2:$M$501)-1),ROW()-1)),"")</f>
        <v/>
      </c>
      <c r="S470">
        <f t="array" ref="S470">IFERROR(INDEX($L$2:$L$501,SMALL(IF($M$2:$M$501=0,ROW($M$2:$M$501)-1),ROW()-1)),"")</f>
        <v/>
      </c>
      <c r="U470">
        <f t="array" ref="U470">IFERROR(INDEX($C$2:$C$501,SMALL(IF($D$2:$D$501="France",ROW($D$2:$D$501)-1),ROW()-1)),"")</f>
        <v/>
      </c>
      <c r="V470">
        <f t="array" ref="V470">IFERROR(INDEX($C$2:$C$501,SMALL(IF($D$2:$D$501="Germany",ROW($D$2:$D$501)-1),ROW()-1)),"")</f>
        <v/>
      </c>
      <c r="W470">
        <f t="array" ref="W470">IFERROR(INDEX($C$2:$C$501,SMALL(IF($D$2:$D$501="Spain",ROW($D$2:$D$501)-1),ROW()-1)),"")</f>
        <v/>
      </c>
    </row>
    <row r="471">
      <c r="A471" t="n">
        <v>470</v>
      </c>
      <c r="B471" t="inlineStr">
        <is>
          <t>Williams</t>
        </is>
      </c>
      <c r="C471" t="n">
        <v>379</v>
      </c>
      <c r="D471" t="inlineStr">
        <is>
          <t>Spain</t>
        </is>
      </c>
      <c r="E471" t="inlineStr">
        <is>
          <t>Female</t>
        </is>
      </c>
      <c r="F471" t="n">
        <v>52</v>
      </c>
      <c r="G471" t="n">
        <v>6</v>
      </c>
      <c r="H471" t="n">
        <v>159259.26</v>
      </c>
      <c r="I471" t="n">
        <v>2</v>
      </c>
      <c r="J471" t="n">
        <v>1</v>
      </c>
      <c r="K471" t="n">
        <v>1</v>
      </c>
      <c r="L471" t="n">
        <v>50254.16</v>
      </c>
      <c r="M471" t="n">
        <v>0</v>
      </c>
      <c r="O471">
        <f>IF($M471=1,$L471,"")</f>
        <v/>
      </c>
      <c r="P471">
        <f>IF($M471=0,$L471,"")</f>
        <v/>
      </c>
      <c r="R471">
        <f t="array" ref="R471">IFERROR(INDEX($L$2:$L$501,SMALL(IF($M$2:$M$501=1,ROW($M$2:$M$501)-1),ROW()-1)),"")</f>
        <v/>
      </c>
      <c r="S471">
        <f t="array" ref="S471">IFERROR(INDEX($L$2:$L$501,SMALL(IF($M$2:$M$501=0,ROW($M$2:$M$501)-1),ROW()-1)),"")</f>
        <v/>
      </c>
      <c r="U471">
        <f t="array" ref="U471">IFERROR(INDEX($C$2:$C$501,SMALL(IF($D$2:$D$501="France",ROW($D$2:$D$501)-1),ROW()-1)),"")</f>
        <v/>
      </c>
      <c r="V471">
        <f t="array" ref="V471">IFERROR(INDEX($C$2:$C$501,SMALL(IF($D$2:$D$501="Germany",ROW($D$2:$D$501)-1),ROW()-1)),"")</f>
        <v/>
      </c>
      <c r="W471">
        <f t="array" ref="W471">IFERROR(INDEX($C$2:$C$501,SMALL(IF($D$2:$D$501="Spain",ROW($D$2:$D$501)-1),ROW()-1)),"")</f>
        <v/>
      </c>
    </row>
    <row r="472">
      <c r="A472" t="n">
        <v>471</v>
      </c>
      <c r="B472" t="inlineStr">
        <is>
          <t>Taylor</t>
        </is>
      </c>
      <c r="C472" t="n">
        <v>575</v>
      </c>
      <c r="D472" t="inlineStr">
        <is>
          <t>France</t>
        </is>
      </c>
      <c r="E472" t="inlineStr">
        <is>
          <t>Female</t>
        </is>
      </c>
      <c r="F472" t="n">
        <v>88</v>
      </c>
      <c r="G472" t="n">
        <v>4</v>
      </c>
      <c r="H472" t="n">
        <v>75139.3</v>
      </c>
      <c r="I472" t="n">
        <v>1</v>
      </c>
      <c r="J472" t="n">
        <v>0</v>
      </c>
      <c r="K472" t="n">
        <v>1</v>
      </c>
      <c r="L472" t="n">
        <v>62313.56</v>
      </c>
      <c r="M472" t="n">
        <v>0</v>
      </c>
      <c r="O472">
        <f>IF($M472=1,$L472,"")</f>
        <v/>
      </c>
      <c r="P472">
        <f>IF($M472=0,$L472,"")</f>
        <v/>
      </c>
      <c r="R472">
        <f t="array" ref="R472">IFERROR(INDEX($L$2:$L$501,SMALL(IF($M$2:$M$501=1,ROW($M$2:$M$501)-1),ROW()-1)),"")</f>
        <v/>
      </c>
      <c r="S472">
        <f t="array" ref="S472">IFERROR(INDEX($L$2:$L$501,SMALL(IF($M$2:$M$501=0,ROW($M$2:$M$501)-1),ROW()-1)),"")</f>
        <v/>
      </c>
      <c r="U472">
        <f t="array" ref="U472">IFERROR(INDEX($C$2:$C$501,SMALL(IF($D$2:$D$501="France",ROW($D$2:$D$501)-1),ROW()-1)),"")</f>
        <v/>
      </c>
      <c r="V472">
        <f t="array" ref="V472">IFERROR(INDEX($C$2:$C$501,SMALL(IF($D$2:$D$501="Germany",ROW($D$2:$D$501)-1),ROW()-1)),"")</f>
        <v/>
      </c>
      <c r="W472">
        <f t="array" ref="W472">IFERROR(INDEX($C$2:$C$501,SMALL(IF($D$2:$D$501="Spain",ROW($D$2:$D$501)-1),ROW()-1)),"")</f>
        <v/>
      </c>
    </row>
    <row r="473">
      <c r="A473" t="n">
        <v>472</v>
      </c>
      <c r="B473" t="inlineStr">
        <is>
          <t>Brown</t>
        </is>
      </c>
      <c r="C473" t="n">
        <v>444</v>
      </c>
      <c r="D473" t="inlineStr">
        <is>
          <t>France</t>
        </is>
      </c>
      <c r="E473" t="inlineStr">
        <is>
          <t>Female</t>
        </is>
      </c>
      <c r="F473" t="n">
        <v>24</v>
      </c>
      <c r="G473" t="n">
        <v>9</v>
      </c>
      <c r="H473" t="n">
        <v>80969.13</v>
      </c>
      <c r="I473" t="n">
        <v>1</v>
      </c>
      <c r="J473" t="n">
        <v>1</v>
      </c>
      <c r="K473" t="n">
        <v>0</v>
      </c>
      <c r="L473" t="n">
        <v>80855.00999999999</v>
      </c>
      <c r="M473" t="n">
        <v>1</v>
      </c>
      <c r="O473">
        <f>IF($M473=1,$L473,"")</f>
        <v/>
      </c>
      <c r="P473">
        <f>IF($M473=0,$L473,"")</f>
        <v/>
      </c>
      <c r="R473">
        <f t="array" ref="R473">IFERROR(INDEX($L$2:$L$501,SMALL(IF($M$2:$M$501=1,ROW($M$2:$M$501)-1),ROW()-1)),"")</f>
        <v/>
      </c>
      <c r="S473">
        <f t="array" ref="S473">IFERROR(INDEX($L$2:$L$501,SMALL(IF($M$2:$M$501=0,ROW($M$2:$M$501)-1),ROW()-1)),"")</f>
        <v/>
      </c>
      <c r="U473">
        <f t="array" ref="U473">IFERROR(INDEX($C$2:$C$501,SMALL(IF($D$2:$D$501="France",ROW($D$2:$D$501)-1),ROW()-1)),"")</f>
        <v/>
      </c>
      <c r="V473">
        <f t="array" ref="V473">IFERROR(INDEX($C$2:$C$501,SMALL(IF($D$2:$D$501="Germany",ROW($D$2:$D$501)-1),ROW()-1)),"")</f>
        <v/>
      </c>
      <c r="W473">
        <f t="array" ref="W473">IFERROR(INDEX($C$2:$C$501,SMALL(IF($D$2:$D$501="Spain",ROW($D$2:$D$501)-1),ROW()-1)),"")</f>
        <v/>
      </c>
    </row>
    <row r="474">
      <c r="A474" t="n">
        <v>473</v>
      </c>
      <c r="B474" t="inlineStr">
        <is>
          <t>Taylor</t>
        </is>
      </c>
      <c r="C474" t="n">
        <v>588</v>
      </c>
      <c r="D474" t="inlineStr">
        <is>
          <t>France</t>
        </is>
      </c>
      <c r="E474" t="inlineStr">
        <is>
          <t>Male</t>
        </is>
      </c>
      <c r="F474" t="n">
        <v>35</v>
      </c>
      <c r="G474" t="n">
        <v>8</v>
      </c>
      <c r="H474" t="n">
        <v>199536.6</v>
      </c>
      <c r="I474" t="n">
        <v>3</v>
      </c>
      <c r="J474" t="n">
        <v>1</v>
      </c>
      <c r="K474" t="n">
        <v>1</v>
      </c>
      <c r="L474" t="n">
        <v>19461.59</v>
      </c>
      <c r="M474" t="n">
        <v>1</v>
      </c>
      <c r="O474">
        <f>IF($M474=1,$L474,"")</f>
        <v/>
      </c>
      <c r="P474">
        <f>IF($M474=0,$L474,"")</f>
        <v/>
      </c>
      <c r="R474">
        <f t="array" ref="R474">IFERROR(INDEX($L$2:$L$501,SMALL(IF($M$2:$M$501=1,ROW($M$2:$M$501)-1),ROW()-1)),"")</f>
        <v/>
      </c>
      <c r="S474">
        <f t="array" ref="S474">IFERROR(INDEX($L$2:$L$501,SMALL(IF($M$2:$M$501=0,ROW($M$2:$M$501)-1),ROW()-1)),"")</f>
        <v/>
      </c>
      <c r="U474">
        <f t="array" ref="U474">IFERROR(INDEX($C$2:$C$501,SMALL(IF($D$2:$D$501="France",ROW($D$2:$D$501)-1),ROW()-1)),"")</f>
        <v/>
      </c>
      <c r="V474">
        <f t="array" ref="V474">IFERROR(INDEX($C$2:$C$501,SMALL(IF($D$2:$D$501="Germany",ROW($D$2:$D$501)-1),ROW()-1)),"")</f>
        <v/>
      </c>
      <c r="W474">
        <f t="array" ref="W474">IFERROR(INDEX($C$2:$C$501,SMALL(IF($D$2:$D$501="Spain",ROW($D$2:$D$501)-1),ROW()-1)),"")</f>
        <v/>
      </c>
    </row>
    <row r="475">
      <c r="A475" t="n">
        <v>474</v>
      </c>
      <c r="B475" t="inlineStr">
        <is>
          <t>Johnson</t>
        </is>
      </c>
      <c r="C475" t="n">
        <v>515</v>
      </c>
      <c r="D475" t="inlineStr">
        <is>
          <t>Germany</t>
        </is>
      </c>
      <c r="E475" t="inlineStr">
        <is>
          <t>Male</t>
        </is>
      </c>
      <c r="F475" t="n">
        <v>66</v>
      </c>
      <c r="G475" t="n">
        <v>0</v>
      </c>
      <c r="H475" t="n">
        <v>133040.76</v>
      </c>
      <c r="I475" t="n">
        <v>3</v>
      </c>
      <c r="J475" t="n">
        <v>0</v>
      </c>
      <c r="K475" t="n">
        <v>0</v>
      </c>
      <c r="L475" t="n">
        <v>64833.38</v>
      </c>
      <c r="M475" t="n">
        <v>0</v>
      </c>
      <c r="O475">
        <f>IF($M475=1,$L475,"")</f>
        <v/>
      </c>
      <c r="P475">
        <f>IF($M475=0,$L475,"")</f>
        <v/>
      </c>
      <c r="R475">
        <f t="array" ref="R475">IFERROR(INDEX($L$2:$L$501,SMALL(IF($M$2:$M$501=1,ROW($M$2:$M$501)-1),ROW()-1)),"")</f>
        <v/>
      </c>
      <c r="S475">
        <f t="array" ref="S475">IFERROR(INDEX($L$2:$L$501,SMALL(IF($M$2:$M$501=0,ROW($M$2:$M$501)-1),ROW()-1)),"")</f>
        <v/>
      </c>
      <c r="U475">
        <f t="array" ref="U475">IFERROR(INDEX($C$2:$C$501,SMALL(IF($D$2:$D$501="France",ROW($D$2:$D$501)-1),ROW()-1)),"")</f>
        <v/>
      </c>
      <c r="V475">
        <f t="array" ref="V475">IFERROR(INDEX($C$2:$C$501,SMALL(IF($D$2:$D$501="Germany",ROW($D$2:$D$501)-1),ROW()-1)),"")</f>
        <v/>
      </c>
      <c r="W475">
        <f t="array" ref="W475">IFERROR(INDEX($C$2:$C$501,SMALL(IF($D$2:$D$501="Spain",ROW($D$2:$D$501)-1),ROW()-1)),"")</f>
        <v/>
      </c>
    </row>
    <row r="476">
      <c r="A476" t="n">
        <v>475</v>
      </c>
      <c r="B476" t="inlineStr">
        <is>
          <t>Jones</t>
        </is>
      </c>
      <c r="C476" t="n">
        <v>732</v>
      </c>
      <c r="D476" t="inlineStr">
        <is>
          <t>Spain</t>
        </is>
      </c>
      <c r="E476" t="inlineStr">
        <is>
          <t>Male</t>
        </is>
      </c>
      <c r="F476" t="n">
        <v>55</v>
      </c>
      <c r="G476" t="n">
        <v>10</v>
      </c>
      <c r="H476" t="n">
        <v>31845.15</v>
      </c>
      <c r="I476" t="n">
        <v>2</v>
      </c>
      <c r="J476" t="n">
        <v>1</v>
      </c>
      <c r="K476" t="n">
        <v>1</v>
      </c>
      <c r="L476" t="n">
        <v>144035.23</v>
      </c>
      <c r="M476" t="n">
        <v>1</v>
      </c>
      <c r="O476">
        <f>IF($M476=1,$L476,"")</f>
        <v/>
      </c>
      <c r="P476">
        <f>IF($M476=0,$L476,"")</f>
        <v/>
      </c>
      <c r="R476">
        <f t="array" ref="R476">IFERROR(INDEX($L$2:$L$501,SMALL(IF($M$2:$M$501=1,ROW($M$2:$M$501)-1),ROW()-1)),"")</f>
        <v/>
      </c>
      <c r="S476">
        <f t="array" ref="S476">IFERROR(INDEX($L$2:$L$501,SMALL(IF($M$2:$M$501=0,ROW($M$2:$M$501)-1),ROW()-1)),"")</f>
        <v/>
      </c>
      <c r="U476">
        <f t="array" ref="U476">IFERROR(INDEX($C$2:$C$501,SMALL(IF($D$2:$D$501="France",ROW($D$2:$D$501)-1),ROW()-1)),"")</f>
        <v/>
      </c>
      <c r="V476">
        <f t="array" ref="V476">IFERROR(INDEX($C$2:$C$501,SMALL(IF($D$2:$D$501="Germany",ROW($D$2:$D$501)-1),ROW()-1)),"")</f>
        <v/>
      </c>
      <c r="W476">
        <f t="array" ref="W476">IFERROR(INDEX($C$2:$C$501,SMALL(IF($D$2:$D$501="Spain",ROW($D$2:$D$501)-1),ROW()-1)),"")</f>
        <v/>
      </c>
    </row>
    <row r="477">
      <c r="A477" t="n">
        <v>476</v>
      </c>
      <c r="B477" t="inlineStr">
        <is>
          <t>Williams</t>
        </is>
      </c>
      <c r="C477" t="n">
        <v>566</v>
      </c>
      <c r="D477" t="inlineStr">
        <is>
          <t>France</t>
        </is>
      </c>
      <c r="E477" t="inlineStr">
        <is>
          <t>Male</t>
        </is>
      </c>
      <c r="F477" t="n">
        <v>18</v>
      </c>
      <c r="G477" t="n">
        <v>10</v>
      </c>
      <c r="H477" t="n">
        <v>146680.78</v>
      </c>
      <c r="I477" t="n">
        <v>2</v>
      </c>
      <c r="J477" t="n">
        <v>0</v>
      </c>
      <c r="K477" t="n">
        <v>0</v>
      </c>
      <c r="L477" t="n">
        <v>76895.64</v>
      </c>
      <c r="M477" t="n">
        <v>0</v>
      </c>
      <c r="O477">
        <f>IF($M477=1,$L477,"")</f>
        <v/>
      </c>
      <c r="P477">
        <f>IF($M477=0,$L477,"")</f>
        <v/>
      </c>
      <c r="R477">
        <f t="array" ref="R477">IFERROR(INDEX($L$2:$L$501,SMALL(IF($M$2:$M$501=1,ROW($M$2:$M$501)-1),ROW()-1)),"")</f>
        <v/>
      </c>
      <c r="S477">
        <f t="array" ref="S477">IFERROR(INDEX($L$2:$L$501,SMALL(IF($M$2:$M$501=0,ROW($M$2:$M$501)-1),ROW()-1)),"")</f>
        <v/>
      </c>
      <c r="U477">
        <f t="array" ref="U477">IFERROR(INDEX($C$2:$C$501,SMALL(IF($D$2:$D$501="France",ROW($D$2:$D$501)-1),ROW()-1)),"")</f>
        <v/>
      </c>
      <c r="V477">
        <f t="array" ref="V477">IFERROR(INDEX($C$2:$C$501,SMALL(IF($D$2:$D$501="Germany",ROW($D$2:$D$501)-1),ROW()-1)),"")</f>
        <v/>
      </c>
      <c r="W477">
        <f t="array" ref="W477">IFERROR(INDEX($C$2:$C$501,SMALL(IF($D$2:$D$501="Spain",ROW($D$2:$D$501)-1),ROW()-1)),"")</f>
        <v/>
      </c>
    </row>
    <row r="478">
      <c r="A478" t="n">
        <v>477</v>
      </c>
      <c r="B478" t="inlineStr">
        <is>
          <t>Brown</t>
        </is>
      </c>
      <c r="C478" t="n">
        <v>622</v>
      </c>
      <c r="D478" t="inlineStr">
        <is>
          <t>Germany</t>
        </is>
      </c>
      <c r="E478" t="inlineStr">
        <is>
          <t>Male</t>
        </is>
      </c>
      <c r="F478" t="n">
        <v>22</v>
      </c>
      <c r="G478" t="n">
        <v>0</v>
      </c>
      <c r="H478" t="n">
        <v>34494.73</v>
      </c>
      <c r="I478" t="n">
        <v>1</v>
      </c>
      <c r="J478" t="n">
        <v>1</v>
      </c>
      <c r="K478" t="n">
        <v>1</v>
      </c>
      <c r="L478" t="n">
        <v>146557.31</v>
      </c>
      <c r="M478" t="n">
        <v>0</v>
      </c>
      <c r="O478">
        <f>IF($M478=1,$L478,"")</f>
        <v/>
      </c>
      <c r="P478">
        <f>IF($M478=0,$L478,"")</f>
        <v/>
      </c>
      <c r="R478">
        <f t="array" ref="R478">IFERROR(INDEX($L$2:$L$501,SMALL(IF($M$2:$M$501=1,ROW($M$2:$M$501)-1),ROW()-1)),"")</f>
        <v/>
      </c>
      <c r="S478">
        <f t="array" ref="S478">IFERROR(INDEX($L$2:$L$501,SMALL(IF($M$2:$M$501=0,ROW($M$2:$M$501)-1),ROW()-1)),"")</f>
        <v/>
      </c>
      <c r="U478">
        <f t="array" ref="U478">IFERROR(INDEX($C$2:$C$501,SMALL(IF($D$2:$D$501="France",ROW($D$2:$D$501)-1),ROW()-1)),"")</f>
        <v/>
      </c>
      <c r="V478">
        <f t="array" ref="V478">IFERROR(INDEX($C$2:$C$501,SMALL(IF($D$2:$D$501="Germany",ROW($D$2:$D$501)-1),ROW()-1)),"")</f>
        <v/>
      </c>
      <c r="W478">
        <f t="array" ref="W478">IFERROR(INDEX($C$2:$C$501,SMALL(IF($D$2:$D$501="Spain",ROW($D$2:$D$501)-1),ROW()-1)),"")</f>
        <v/>
      </c>
    </row>
    <row r="479">
      <c r="A479" t="n">
        <v>478</v>
      </c>
      <c r="B479" t="inlineStr">
        <is>
          <t>Taylor</t>
        </is>
      </c>
      <c r="C479" t="n">
        <v>705</v>
      </c>
      <c r="D479" t="inlineStr">
        <is>
          <t>France</t>
        </is>
      </c>
      <c r="E479" t="inlineStr">
        <is>
          <t>Male</t>
        </is>
      </c>
      <c r="F479" t="n">
        <v>78</v>
      </c>
      <c r="G479" t="n">
        <v>2</v>
      </c>
      <c r="H479" t="n">
        <v>217177.04</v>
      </c>
      <c r="I479" t="n">
        <v>3</v>
      </c>
      <c r="J479" t="n">
        <v>0</v>
      </c>
      <c r="K479" t="n">
        <v>0</v>
      </c>
      <c r="L479" t="n">
        <v>142428.83</v>
      </c>
      <c r="M479" t="n">
        <v>1</v>
      </c>
      <c r="O479">
        <f>IF($M479=1,$L479,"")</f>
        <v/>
      </c>
      <c r="P479">
        <f>IF($M479=0,$L479,"")</f>
        <v/>
      </c>
      <c r="R479">
        <f t="array" ref="R479">IFERROR(INDEX($L$2:$L$501,SMALL(IF($M$2:$M$501=1,ROW($M$2:$M$501)-1),ROW()-1)),"")</f>
        <v/>
      </c>
      <c r="S479">
        <f t="array" ref="S479">IFERROR(INDEX($L$2:$L$501,SMALL(IF($M$2:$M$501=0,ROW($M$2:$M$501)-1),ROW()-1)),"")</f>
        <v/>
      </c>
      <c r="U479">
        <f t="array" ref="U479">IFERROR(INDEX($C$2:$C$501,SMALL(IF($D$2:$D$501="France",ROW($D$2:$D$501)-1),ROW()-1)),"")</f>
        <v/>
      </c>
      <c r="V479">
        <f t="array" ref="V479">IFERROR(INDEX($C$2:$C$501,SMALL(IF($D$2:$D$501="Germany",ROW($D$2:$D$501)-1),ROW()-1)),"")</f>
        <v/>
      </c>
      <c r="W479">
        <f t="array" ref="W479">IFERROR(INDEX($C$2:$C$501,SMALL(IF($D$2:$D$501="Spain",ROW($D$2:$D$501)-1),ROW()-1)),"")</f>
        <v/>
      </c>
    </row>
    <row r="480">
      <c r="A480" t="n">
        <v>479</v>
      </c>
      <c r="B480" t="inlineStr">
        <is>
          <t>Wilson</t>
        </is>
      </c>
      <c r="C480" t="n">
        <v>517</v>
      </c>
      <c r="D480" t="inlineStr">
        <is>
          <t>France</t>
        </is>
      </c>
      <c r="E480" t="inlineStr">
        <is>
          <t>Female</t>
        </is>
      </c>
      <c r="F480" t="n">
        <v>28</v>
      </c>
      <c r="G480" t="n">
        <v>6</v>
      </c>
      <c r="H480" t="n">
        <v>32317.55</v>
      </c>
      <c r="I480" t="n">
        <v>3</v>
      </c>
      <c r="J480" t="n">
        <v>1</v>
      </c>
      <c r="K480" t="n">
        <v>0</v>
      </c>
      <c r="L480" t="n">
        <v>48172.94</v>
      </c>
      <c r="M480" t="n">
        <v>1</v>
      </c>
      <c r="O480">
        <f>IF($M480=1,$L480,"")</f>
        <v/>
      </c>
      <c r="P480">
        <f>IF($M480=0,$L480,"")</f>
        <v/>
      </c>
      <c r="R480">
        <f t="array" ref="R480">IFERROR(INDEX($L$2:$L$501,SMALL(IF($M$2:$M$501=1,ROW($M$2:$M$501)-1),ROW()-1)),"")</f>
        <v/>
      </c>
      <c r="S480">
        <f t="array" ref="S480">IFERROR(INDEX($L$2:$L$501,SMALL(IF($M$2:$M$501=0,ROW($M$2:$M$501)-1),ROW()-1)),"")</f>
        <v/>
      </c>
      <c r="U480">
        <f t="array" ref="U480">IFERROR(INDEX($C$2:$C$501,SMALL(IF($D$2:$D$501="France",ROW($D$2:$D$501)-1),ROW()-1)),"")</f>
        <v/>
      </c>
      <c r="V480">
        <f t="array" ref="V480">IFERROR(INDEX($C$2:$C$501,SMALL(IF($D$2:$D$501="Germany",ROW($D$2:$D$501)-1),ROW()-1)),"")</f>
        <v/>
      </c>
      <c r="W480">
        <f t="array" ref="W480">IFERROR(INDEX($C$2:$C$501,SMALL(IF($D$2:$D$501="Spain",ROW($D$2:$D$501)-1),ROW()-1)),"")</f>
        <v/>
      </c>
    </row>
    <row r="481">
      <c r="A481" t="n">
        <v>480</v>
      </c>
      <c r="B481" t="inlineStr">
        <is>
          <t>Brown</t>
        </is>
      </c>
      <c r="C481" t="n">
        <v>507</v>
      </c>
      <c r="D481" t="inlineStr">
        <is>
          <t>France</t>
        </is>
      </c>
      <c r="E481" t="inlineStr">
        <is>
          <t>Male</t>
        </is>
      </c>
      <c r="F481" t="n">
        <v>47</v>
      </c>
      <c r="G481" t="n">
        <v>1</v>
      </c>
      <c r="H481" t="n">
        <v>167352.03</v>
      </c>
      <c r="I481" t="n">
        <v>1</v>
      </c>
      <c r="J481" t="n">
        <v>0</v>
      </c>
      <c r="K481" t="n">
        <v>1</v>
      </c>
      <c r="L481" t="n">
        <v>124013.91</v>
      </c>
      <c r="M481" t="n">
        <v>0</v>
      </c>
      <c r="O481">
        <f>IF($M481=1,$L481,"")</f>
        <v/>
      </c>
      <c r="P481">
        <f>IF($M481=0,$L481,"")</f>
        <v/>
      </c>
      <c r="R481">
        <f t="array" ref="R481">IFERROR(INDEX($L$2:$L$501,SMALL(IF($M$2:$M$501=1,ROW($M$2:$M$501)-1),ROW()-1)),"")</f>
        <v/>
      </c>
      <c r="S481">
        <f t="array" ref="S481">IFERROR(INDEX($L$2:$L$501,SMALL(IF($M$2:$M$501=0,ROW($M$2:$M$501)-1),ROW()-1)),"")</f>
        <v/>
      </c>
      <c r="U481">
        <f t="array" ref="U481">IFERROR(INDEX($C$2:$C$501,SMALL(IF($D$2:$D$501="France",ROW($D$2:$D$501)-1),ROW()-1)),"")</f>
        <v/>
      </c>
      <c r="V481">
        <f t="array" ref="V481">IFERROR(INDEX($C$2:$C$501,SMALL(IF($D$2:$D$501="Germany",ROW($D$2:$D$501)-1),ROW()-1)),"")</f>
        <v/>
      </c>
      <c r="W481">
        <f t="array" ref="W481">IFERROR(INDEX($C$2:$C$501,SMALL(IF($D$2:$D$501="Spain",ROW($D$2:$D$501)-1),ROW()-1)),"")</f>
        <v/>
      </c>
    </row>
    <row r="482">
      <c r="A482" t="n">
        <v>481</v>
      </c>
      <c r="B482" t="inlineStr">
        <is>
          <t>Taylor</t>
        </is>
      </c>
      <c r="C482" t="n">
        <v>415</v>
      </c>
      <c r="D482" t="inlineStr">
        <is>
          <t>France</t>
        </is>
      </c>
      <c r="E482" t="inlineStr">
        <is>
          <t>Female</t>
        </is>
      </c>
      <c r="F482" t="n">
        <v>31</v>
      </c>
      <c r="G482" t="n">
        <v>5</v>
      </c>
      <c r="H482" t="n">
        <v>224202.59</v>
      </c>
      <c r="I482" t="n">
        <v>3</v>
      </c>
      <c r="J482" t="n">
        <v>1</v>
      </c>
      <c r="K482" t="n">
        <v>0</v>
      </c>
      <c r="L482" t="n">
        <v>58513.24</v>
      </c>
      <c r="M482" t="n">
        <v>0</v>
      </c>
      <c r="O482">
        <f>IF($M482=1,$L482,"")</f>
        <v/>
      </c>
      <c r="P482">
        <f>IF($M482=0,$L482,"")</f>
        <v/>
      </c>
      <c r="R482">
        <f t="array" ref="R482">IFERROR(INDEX($L$2:$L$501,SMALL(IF($M$2:$M$501=1,ROW($M$2:$M$501)-1),ROW()-1)),"")</f>
        <v/>
      </c>
      <c r="S482">
        <f t="array" ref="S482">IFERROR(INDEX($L$2:$L$501,SMALL(IF($M$2:$M$501=0,ROW($M$2:$M$501)-1),ROW()-1)),"")</f>
        <v/>
      </c>
      <c r="U482">
        <f t="array" ref="U482">IFERROR(INDEX($C$2:$C$501,SMALL(IF($D$2:$D$501="France",ROW($D$2:$D$501)-1),ROW()-1)),"")</f>
        <v/>
      </c>
      <c r="V482">
        <f t="array" ref="V482">IFERROR(INDEX($C$2:$C$501,SMALL(IF($D$2:$D$501="Germany",ROW($D$2:$D$501)-1),ROW()-1)),"")</f>
        <v/>
      </c>
      <c r="W482">
        <f t="array" ref="W482">IFERROR(INDEX($C$2:$C$501,SMALL(IF($D$2:$D$501="Spain",ROW($D$2:$D$501)-1),ROW()-1)),"")</f>
        <v/>
      </c>
    </row>
    <row r="483">
      <c r="A483" t="n">
        <v>482</v>
      </c>
      <c r="B483" t="inlineStr">
        <is>
          <t>Brown</t>
        </is>
      </c>
      <c r="C483" t="n">
        <v>629</v>
      </c>
      <c r="D483" t="inlineStr">
        <is>
          <t>Germany</t>
        </is>
      </c>
      <c r="E483" t="inlineStr">
        <is>
          <t>Male</t>
        </is>
      </c>
      <c r="F483" t="n">
        <v>37</v>
      </c>
      <c r="G483" t="n">
        <v>9</v>
      </c>
      <c r="H483" t="n">
        <v>24530.88</v>
      </c>
      <c r="I483" t="n">
        <v>2</v>
      </c>
      <c r="J483" t="n">
        <v>1</v>
      </c>
      <c r="K483" t="n">
        <v>0</v>
      </c>
      <c r="L483" t="n">
        <v>100372.28</v>
      </c>
      <c r="M483" t="n">
        <v>0</v>
      </c>
      <c r="O483">
        <f>IF($M483=1,$L483,"")</f>
        <v/>
      </c>
      <c r="P483">
        <f>IF($M483=0,$L483,"")</f>
        <v/>
      </c>
      <c r="R483">
        <f t="array" ref="R483">IFERROR(INDEX($L$2:$L$501,SMALL(IF($M$2:$M$501=1,ROW($M$2:$M$501)-1),ROW()-1)),"")</f>
        <v/>
      </c>
      <c r="S483">
        <f t="array" ref="S483">IFERROR(INDEX($L$2:$L$501,SMALL(IF($M$2:$M$501=0,ROW($M$2:$M$501)-1),ROW()-1)),"")</f>
        <v/>
      </c>
      <c r="U483">
        <f t="array" ref="U483">IFERROR(INDEX($C$2:$C$501,SMALL(IF($D$2:$D$501="France",ROW($D$2:$D$501)-1),ROW()-1)),"")</f>
        <v/>
      </c>
      <c r="V483">
        <f t="array" ref="V483">IFERROR(INDEX($C$2:$C$501,SMALL(IF($D$2:$D$501="Germany",ROW($D$2:$D$501)-1),ROW()-1)),"")</f>
        <v/>
      </c>
      <c r="W483">
        <f t="array" ref="W483">IFERROR(INDEX($C$2:$C$501,SMALL(IF($D$2:$D$501="Spain",ROW($D$2:$D$501)-1),ROW()-1)),"")</f>
        <v/>
      </c>
    </row>
    <row r="484">
      <c r="A484" t="n">
        <v>483</v>
      </c>
      <c r="B484" t="inlineStr">
        <is>
          <t>Johnson</t>
        </is>
      </c>
      <c r="C484" t="n">
        <v>550</v>
      </c>
      <c r="D484" t="inlineStr">
        <is>
          <t>Spain</t>
        </is>
      </c>
      <c r="E484" t="inlineStr">
        <is>
          <t>Male</t>
        </is>
      </c>
      <c r="F484" t="n">
        <v>59</v>
      </c>
      <c r="G484" t="n">
        <v>5</v>
      </c>
      <c r="H484" t="n">
        <v>132558.04</v>
      </c>
      <c r="I484" t="n">
        <v>3</v>
      </c>
      <c r="J484" t="n">
        <v>1</v>
      </c>
      <c r="K484" t="n">
        <v>0</v>
      </c>
      <c r="L484" t="n">
        <v>55627.46</v>
      </c>
      <c r="M484" t="n">
        <v>0</v>
      </c>
      <c r="O484">
        <f>IF($M484=1,$L484,"")</f>
        <v/>
      </c>
      <c r="P484">
        <f>IF($M484=0,$L484,"")</f>
        <v/>
      </c>
      <c r="R484">
        <f t="array" ref="R484">IFERROR(INDEX($L$2:$L$501,SMALL(IF($M$2:$M$501=1,ROW($M$2:$M$501)-1),ROW()-1)),"")</f>
        <v/>
      </c>
      <c r="S484">
        <f t="array" ref="S484">IFERROR(INDEX($L$2:$L$501,SMALL(IF($M$2:$M$501=0,ROW($M$2:$M$501)-1),ROW()-1)),"")</f>
        <v/>
      </c>
      <c r="U484">
        <f t="array" ref="U484">IFERROR(INDEX($C$2:$C$501,SMALL(IF($D$2:$D$501="France",ROW($D$2:$D$501)-1),ROW()-1)),"")</f>
        <v/>
      </c>
      <c r="V484">
        <f t="array" ref="V484">IFERROR(INDEX($C$2:$C$501,SMALL(IF($D$2:$D$501="Germany",ROW($D$2:$D$501)-1),ROW()-1)),"")</f>
        <v/>
      </c>
      <c r="W484">
        <f t="array" ref="W484">IFERROR(INDEX($C$2:$C$501,SMALL(IF($D$2:$D$501="Spain",ROW($D$2:$D$501)-1),ROW()-1)),"")</f>
        <v/>
      </c>
    </row>
    <row r="485">
      <c r="A485" t="n">
        <v>484</v>
      </c>
      <c r="B485" t="inlineStr">
        <is>
          <t>Williams</t>
        </is>
      </c>
      <c r="C485" t="n">
        <v>734</v>
      </c>
      <c r="D485" t="inlineStr">
        <is>
          <t>Spain</t>
        </is>
      </c>
      <c r="E485" t="inlineStr">
        <is>
          <t>Male</t>
        </is>
      </c>
      <c r="F485" t="n">
        <v>62</v>
      </c>
      <c r="G485" t="n">
        <v>2</v>
      </c>
      <c r="H485" t="n">
        <v>239522.72</v>
      </c>
      <c r="I485" t="n">
        <v>3</v>
      </c>
      <c r="J485" t="n">
        <v>0</v>
      </c>
      <c r="K485" t="n">
        <v>1</v>
      </c>
      <c r="L485" t="n">
        <v>37534.69</v>
      </c>
      <c r="M485" t="n">
        <v>0</v>
      </c>
      <c r="O485">
        <f>IF($M485=1,$L485,"")</f>
        <v/>
      </c>
      <c r="P485">
        <f>IF($M485=0,$L485,"")</f>
        <v/>
      </c>
      <c r="R485">
        <f t="array" ref="R485">IFERROR(INDEX($L$2:$L$501,SMALL(IF($M$2:$M$501=1,ROW($M$2:$M$501)-1),ROW()-1)),"")</f>
        <v/>
      </c>
      <c r="S485">
        <f t="array" ref="S485">IFERROR(INDEX($L$2:$L$501,SMALL(IF($M$2:$M$501=0,ROW($M$2:$M$501)-1),ROW()-1)),"")</f>
        <v/>
      </c>
      <c r="U485">
        <f t="array" ref="U485">IFERROR(INDEX($C$2:$C$501,SMALL(IF($D$2:$D$501="France",ROW($D$2:$D$501)-1),ROW()-1)),"")</f>
        <v/>
      </c>
      <c r="V485">
        <f t="array" ref="V485">IFERROR(INDEX($C$2:$C$501,SMALL(IF($D$2:$D$501="Germany",ROW($D$2:$D$501)-1),ROW()-1)),"")</f>
        <v/>
      </c>
      <c r="W485">
        <f t="array" ref="W485">IFERROR(INDEX($C$2:$C$501,SMALL(IF($D$2:$D$501="Spain",ROW($D$2:$D$501)-1),ROW()-1)),"")</f>
        <v/>
      </c>
    </row>
    <row r="486">
      <c r="A486" t="n">
        <v>485</v>
      </c>
      <c r="B486" t="inlineStr">
        <is>
          <t>Wilson</t>
        </is>
      </c>
      <c r="C486" t="n">
        <v>437</v>
      </c>
      <c r="D486" t="inlineStr">
        <is>
          <t>France</t>
        </is>
      </c>
      <c r="E486" t="inlineStr">
        <is>
          <t>Female</t>
        </is>
      </c>
      <c r="F486" t="n">
        <v>69</v>
      </c>
      <c r="G486" t="n">
        <v>3</v>
      </c>
      <c r="H486" t="n">
        <v>69485.69</v>
      </c>
      <c r="I486" t="n">
        <v>2</v>
      </c>
      <c r="J486" t="n">
        <v>1</v>
      </c>
      <c r="K486" t="n">
        <v>1</v>
      </c>
      <c r="L486" t="n">
        <v>91069.46000000001</v>
      </c>
      <c r="M486" t="n">
        <v>0</v>
      </c>
      <c r="O486">
        <f>IF($M486=1,$L486,"")</f>
        <v/>
      </c>
      <c r="P486">
        <f>IF($M486=0,$L486,"")</f>
        <v/>
      </c>
      <c r="R486">
        <f t="array" ref="R486">IFERROR(INDEX($L$2:$L$501,SMALL(IF($M$2:$M$501=1,ROW($M$2:$M$501)-1),ROW()-1)),"")</f>
        <v/>
      </c>
      <c r="S486">
        <f t="array" ref="S486">IFERROR(INDEX($L$2:$L$501,SMALL(IF($M$2:$M$501=0,ROW($M$2:$M$501)-1),ROW()-1)),"")</f>
        <v/>
      </c>
      <c r="U486">
        <f t="array" ref="U486">IFERROR(INDEX($C$2:$C$501,SMALL(IF($D$2:$D$501="France",ROW($D$2:$D$501)-1),ROW()-1)),"")</f>
        <v/>
      </c>
      <c r="V486">
        <f t="array" ref="V486">IFERROR(INDEX($C$2:$C$501,SMALL(IF($D$2:$D$501="Germany",ROW($D$2:$D$501)-1),ROW()-1)),"")</f>
        <v/>
      </c>
      <c r="W486">
        <f t="array" ref="W486">IFERROR(INDEX($C$2:$C$501,SMALL(IF($D$2:$D$501="Spain",ROW($D$2:$D$501)-1),ROW()-1)),"")</f>
        <v/>
      </c>
    </row>
    <row r="487">
      <c r="A487" t="n">
        <v>486</v>
      </c>
      <c r="B487" t="inlineStr">
        <is>
          <t>Williams</t>
        </is>
      </c>
      <c r="C487" t="n">
        <v>643</v>
      </c>
      <c r="D487" t="inlineStr">
        <is>
          <t>Germany</t>
        </is>
      </c>
      <c r="E487" t="inlineStr">
        <is>
          <t>Male</t>
        </is>
      </c>
      <c r="F487" t="n">
        <v>34</v>
      </c>
      <c r="G487" t="n">
        <v>3</v>
      </c>
      <c r="H487" t="n">
        <v>70266.98</v>
      </c>
      <c r="I487" t="n">
        <v>2</v>
      </c>
      <c r="J487" t="n">
        <v>0</v>
      </c>
      <c r="K487" t="n">
        <v>1</v>
      </c>
      <c r="L487" t="n">
        <v>129097.79</v>
      </c>
      <c r="M487" t="n">
        <v>1</v>
      </c>
      <c r="O487">
        <f>IF($M487=1,$L487,"")</f>
        <v/>
      </c>
      <c r="P487">
        <f>IF($M487=0,$L487,"")</f>
        <v/>
      </c>
      <c r="R487">
        <f t="array" ref="R487">IFERROR(INDEX($L$2:$L$501,SMALL(IF($M$2:$M$501=1,ROW($M$2:$M$501)-1),ROW()-1)),"")</f>
        <v/>
      </c>
      <c r="S487">
        <f t="array" ref="S487">IFERROR(INDEX($L$2:$L$501,SMALL(IF($M$2:$M$501=0,ROW($M$2:$M$501)-1),ROW()-1)),"")</f>
        <v/>
      </c>
      <c r="U487">
        <f t="array" ref="U487">IFERROR(INDEX($C$2:$C$501,SMALL(IF($D$2:$D$501="France",ROW($D$2:$D$501)-1),ROW()-1)),"")</f>
        <v/>
      </c>
      <c r="V487">
        <f t="array" ref="V487">IFERROR(INDEX($C$2:$C$501,SMALL(IF($D$2:$D$501="Germany",ROW($D$2:$D$501)-1),ROW()-1)),"")</f>
        <v/>
      </c>
      <c r="W487">
        <f t="array" ref="W487">IFERROR(INDEX($C$2:$C$501,SMALL(IF($D$2:$D$501="Spain",ROW($D$2:$D$501)-1),ROW()-1)),"")</f>
        <v/>
      </c>
    </row>
    <row r="488">
      <c r="A488" t="n">
        <v>487</v>
      </c>
      <c r="B488" t="inlineStr">
        <is>
          <t>Jones</t>
        </is>
      </c>
      <c r="C488" t="n">
        <v>717</v>
      </c>
      <c r="D488" t="inlineStr">
        <is>
          <t>Spain</t>
        </is>
      </c>
      <c r="E488" t="inlineStr">
        <is>
          <t>Female</t>
        </is>
      </c>
      <c r="F488" t="n">
        <v>55</v>
      </c>
      <c r="G488" t="n">
        <v>3</v>
      </c>
      <c r="H488" t="n">
        <v>117513.1</v>
      </c>
      <c r="I488" t="n">
        <v>1</v>
      </c>
      <c r="J488" t="n">
        <v>0</v>
      </c>
      <c r="K488" t="n">
        <v>0</v>
      </c>
      <c r="L488" t="n">
        <v>143986.04</v>
      </c>
      <c r="M488" t="n">
        <v>1</v>
      </c>
      <c r="O488">
        <f>IF($M488=1,$L488,"")</f>
        <v/>
      </c>
      <c r="P488">
        <f>IF($M488=0,$L488,"")</f>
        <v/>
      </c>
      <c r="R488">
        <f t="array" ref="R488">IFERROR(INDEX($L$2:$L$501,SMALL(IF($M$2:$M$501=1,ROW($M$2:$M$501)-1),ROW()-1)),"")</f>
        <v/>
      </c>
      <c r="S488">
        <f t="array" ref="S488">IFERROR(INDEX($L$2:$L$501,SMALL(IF($M$2:$M$501=0,ROW($M$2:$M$501)-1),ROW()-1)),"")</f>
        <v/>
      </c>
      <c r="U488">
        <f t="array" ref="U488">IFERROR(INDEX($C$2:$C$501,SMALL(IF($D$2:$D$501="France",ROW($D$2:$D$501)-1),ROW()-1)),"")</f>
        <v/>
      </c>
      <c r="V488">
        <f t="array" ref="V488">IFERROR(INDEX($C$2:$C$501,SMALL(IF($D$2:$D$501="Germany",ROW($D$2:$D$501)-1),ROW()-1)),"")</f>
        <v/>
      </c>
      <c r="W488">
        <f t="array" ref="W488">IFERROR(INDEX($C$2:$C$501,SMALL(IF($D$2:$D$501="Spain",ROW($D$2:$D$501)-1),ROW()-1)),"")</f>
        <v/>
      </c>
    </row>
    <row r="489">
      <c r="A489" t="n">
        <v>488</v>
      </c>
      <c r="B489" t="inlineStr">
        <is>
          <t>Taylor</t>
        </is>
      </c>
      <c r="C489" t="n">
        <v>797</v>
      </c>
      <c r="D489" t="inlineStr">
        <is>
          <t>Spain</t>
        </is>
      </c>
      <c r="E489" t="inlineStr">
        <is>
          <t>Female</t>
        </is>
      </c>
      <c r="F489" t="n">
        <v>32</v>
      </c>
      <c r="G489" t="n">
        <v>8</v>
      </c>
      <c r="H489" t="n">
        <v>236925.82</v>
      </c>
      <c r="I489" t="n">
        <v>1</v>
      </c>
      <c r="J489" t="n">
        <v>0</v>
      </c>
      <c r="K489" t="n">
        <v>1</v>
      </c>
      <c r="L489" t="n">
        <v>46753.37</v>
      </c>
      <c r="M489" t="n">
        <v>1</v>
      </c>
      <c r="O489">
        <f>IF($M489=1,$L489,"")</f>
        <v/>
      </c>
      <c r="P489">
        <f>IF($M489=0,$L489,"")</f>
        <v/>
      </c>
      <c r="R489">
        <f t="array" ref="R489">IFERROR(INDEX($L$2:$L$501,SMALL(IF($M$2:$M$501=1,ROW($M$2:$M$501)-1),ROW()-1)),"")</f>
        <v/>
      </c>
      <c r="S489">
        <f t="array" ref="S489">IFERROR(INDEX($L$2:$L$501,SMALL(IF($M$2:$M$501=0,ROW($M$2:$M$501)-1),ROW()-1)),"")</f>
        <v/>
      </c>
      <c r="U489">
        <f t="array" ref="U489">IFERROR(INDEX($C$2:$C$501,SMALL(IF($D$2:$D$501="France",ROW($D$2:$D$501)-1),ROW()-1)),"")</f>
        <v/>
      </c>
      <c r="V489">
        <f t="array" ref="V489">IFERROR(INDEX($C$2:$C$501,SMALL(IF($D$2:$D$501="Germany",ROW($D$2:$D$501)-1),ROW()-1)),"")</f>
        <v/>
      </c>
      <c r="W489">
        <f t="array" ref="W489">IFERROR(INDEX($C$2:$C$501,SMALL(IF($D$2:$D$501="Spain",ROW($D$2:$D$501)-1),ROW()-1)),"")</f>
        <v/>
      </c>
    </row>
    <row r="490">
      <c r="A490" t="n">
        <v>489</v>
      </c>
      <c r="B490" t="inlineStr">
        <is>
          <t>Wilson</t>
        </is>
      </c>
      <c r="C490" t="n">
        <v>760</v>
      </c>
      <c r="D490" t="inlineStr">
        <is>
          <t>France</t>
        </is>
      </c>
      <c r="E490" t="inlineStr">
        <is>
          <t>Male</t>
        </is>
      </c>
      <c r="F490" t="n">
        <v>54</v>
      </c>
      <c r="G490" t="n">
        <v>5</v>
      </c>
      <c r="H490" t="n">
        <v>200253.42</v>
      </c>
      <c r="I490" t="n">
        <v>1</v>
      </c>
      <c r="J490" t="n">
        <v>1</v>
      </c>
      <c r="K490" t="n">
        <v>1</v>
      </c>
      <c r="L490" t="n">
        <v>105135.87</v>
      </c>
      <c r="M490" t="n">
        <v>0</v>
      </c>
      <c r="O490">
        <f>IF($M490=1,$L490,"")</f>
        <v/>
      </c>
      <c r="P490">
        <f>IF($M490=0,$L490,"")</f>
        <v/>
      </c>
      <c r="R490">
        <f t="array" ref="R490">IFERROR(INDEX($L$2:$L$501,SMALL(IF($M$2:$M$501=1,ROW($M$2:$M$501)-1),ROW()-1)),"")</f>
        <v/>
      </c>
      <c r="S490">
        <f t="array" ref="S490">IFERROR(INDEX($L$2:$L$501,SMALL(IF($M$2:$M$501=0,ROW($M$2:$M$501)-1),ROW()-1)),"")</f>
        <v/>
      </c>
      <c r="U490">
        <f t="array" ref="U490">IFERROR(INDEX($C$2:$C$501,SMALL(IF($D$2:$D$501="France",ROW($D$2:$D$501)-1),ROW()-1)),"")</f>
        <v/>
      </c>
      <c r="V490">
        <f t="array" ref="V490">IFERROR(INDEX($C$2:$C$501,SMALL(IF($D$2:$D$501="Germany",ROW($D$2:$D$501)-1),ROW()-1)),"")</f>
        <v/>
      </c>
      <c r="W490">
        <f t="array" ref="W490">IFERROR(INDEX($C$2:$C$501,SMALL(IF($D$2:$D$501="Spain",ROW($D$2:$D$501)-1),ROW()-1)),"")</f>
        <v/>
      </c>
    </row>
    <row r="491">
      <c r="A491" t="n">
        <v>490</v>
      </c>
      <c r="B491" t="inlineStr">
        <is>
          <t>Miller</t>
        </is>
      </c>
      <c r="C491" t="n">
        <v>567</v>
      </c>
      <c r="D491" t="inlineStr">
        <is>
          <t>France</t>
        </is>
      </c>
      <c r="E491" t="inlineStr">
        <is>
          <t>Male</t>
        </is>
      </c>
      <c r="F491" t="n">
        <v>22</v>
      </c>
      <c r="G491" t="n">
        <v>9</v>
      </c>
      <c r="H491" t="n">
        <v>67796.41</v>
      </c>
      <c r="I491" t="n">
        <v>4</v>
      </c>
      <c r="J491" t="n">
        <v>1</v>
      </c>
      <c r="K491" t="n">
        <v>1</v>
      </c>
      <c r="L491" t="n">
        <v>125551.64</v>
      </c>
      <c r="M491" t="n">
        <v>0</v>
      </c>
      <c r="O491">
        <f>IF($M491=1,$L491,"")</f>
        <v/>
      </c>
      <c r="P491">
        <f>IF($M491=0,$L491,"")</f>
        <v/>
      </c>
      <c r="R491">
        <f t="array" ref="R491">IFERROR(INDEX($L$2:$L$501,SMALL(IF($M$2:$M$501=1,ROW($M$2:$M$501)-1),ROW()-1)),"")</f>
        <v/>
      </c>
      <c r="S491">
        <f t="array" ref="S491">IFERROR(INDEX($L$2:$L$501,SMALL(IF($M$2:$M$501=0,ROW($M$2:$M$501)-1),ROW()-1)),"")</f>
        <v/>
      </c>
      <c r="U491">
        <f t="array" ref="U491">IFERROR(INDEX($C$2:$C$501,SMALL(IF($D$2:$D$501="France",ROW($D$2:$D$501)-1),ROW()-1)),"")</f>
        <v/>
      </c>
      <c r="V491">
        <f t="array" ref="V491">IFERROR(INDEX($C$2:$C$501,SMALL(IF($D$2:$D$501="Germany",ROW($D$2:$D$501)-1),ROW()-1)),"")</f>
        <v/>
      </c>
      <c r="W491">
        <f t="array" ref="W491">IFERROR(INDEX($C$2:$C$501,SMALL(IF($D$2:$D$501="Spain",ROW($D$2:$D$501)-1),ROW()-1)),"")</f>
        <v/>
      </c>
    </row>
    <row r="492">
      <c r="A492" t="n">
        <v>491</v>
      </c>
      <c r="B492" t="inlineStr">
        <is>
          <t>Miller</t>
        </is>
      </c>
      <c r="C492" t="n">
        <v>695</v>
      </c>
      <c r="D492" t="inlineStr">
        <is>
          <t>Germany</t>
        </is>
      </c>
      <c r="E492" t="inlineStr">
        <is>
          <t>Male</t>
        </is>
      </c>
      <c r="F492" t="n">
        <v>65</v>
      </c>
      <c r="G492" t="n">
        <v>5</v>
      </c>
      <c r="H492" t="n">
        <v>57896.34</v>
      </c>
      <c r="I492" t="n">
        <v>4</v>
      </c>
      <c r="J492" t="n">
        <v>1</v>
      </c>
      <c r="K492" t="n">
        <v>1</v>
      </c>
      <c r="L492" t="n">
        <v>39633.65</v>
      </c>
      <c r="M492" t="n">
        <v>0</v>
      </c>
      <c r="O492">
        <f>IF($M492=1,$L492,"")</f>
        <v/>
      </c>
      <c r="P492">
        <f>IF($M492=0,$L492,"")</f>
        <v/>
      </c>
      <c r="R492">
        <f t="array" ref="R492">IFERROR(INDEX($L$2:$L$501,SMALL(IF($M$2:$M$501=1,ROW($M$2:$M$501)-1),ROW()-1)),"")</f>
        <v/>
      </c>
      <c r="S492">
        <f t="array" ref="S492">IFERROR(INDEX($L$2:$L$501,SMALL(IF($M$2:$M$501=0,ROW($M$2:$M$501)-1),ROW()-1)),"")</f>
        <v/>
      </c>
      <c r="U492">
        <f t="array" ref="U492">IFERROR(INDEX($C$2:$C$501,SMALL(IF($D$2:$D$501="France",ROW($D$2:$D$501)-1),ROW()-1)),"")</f>
        <v/>
      </c>
      <c r="V492">
        <f t="array" ref="V492">IFERROR(INDEX($C$2:$C$501,SMALL(IF($D$2:$D$501="Germany",ROW($D$2:$D$501)-1),ROW()-1)),"")</f>
        <v/>
      </c>
      <c r="W492">
        <f t="array" ref="W492">IFERROR(INDEX($C$2:$C$501,SMALL(IF($D$2:$D$501="Spain",ROW($D$2:$D$501)-1),ROW()-1)),"")</f>
        <v/>
      </c>
    </row>
    <row r="493">
      <c r="A493" t="n">
        <v>492</v>
      </c>
      <c r="B493" t="inlineStr">
        <is>
          <t>Williams</t>
        </is>
      </c>
      <c r="C493" t="n">
        <v>484</v>
      </c>
      <c r="D493" t="inlineStr">
        <is>
          <t>Spain</t>
        </is>
      </c>
      <c r="E493" t="inlineStr">
        <is>
          <t>Female</t>
        </is>
      </c>
      <c r="F493" t="n">
        <v>18</v>
      </c>
      <c r="G493" t="n">
        <v>1</v>
      </c>
      <c r="H493" t="n">
        <v>49654.19</v>
      </c>
      <c r="I493" t="n">
        <v>3</v>
      </c>
      <c r="J493" t="n">
        <v>0</v>
      </c>
      <c r="K493" t="n">
        <v>1</v>
      </c>
      <c r="L493" t="n">
        <v>81684.84</v>
      </c>
      <c r="M493" t="n">
        <v>1</v>
      </c>
      <c r="O493">
        <f>IF($M493=1,$L493,"")</f>
        <v/>
      </c>
      <c r="P493">
        <f>IF($M493=0,$L493,"")</f>
        <v/>
      </c>
      <c r="R493">
        <f t="array" ref="R493">IFERROR(INDEX($L$2:$L$501,SMALL(IF($M$2:$M$501=1,ROW($M$2:$M$501)-1),ROW()-1)),"")</f>
        <v/>
      </c>
      <c r="S493">
        <f t="array" ref="S493">IFERROR(INDEX($L$2:$L$501,SMALL(IF($M$2:$M$501=0,ROW($M$2:$M$501)-1),ROW()-1)),"")</f>
        <v/>
      </c>
      <c r="U493">
        <f t="array" ref="U493">IFERROR(INDEX($C$2:$C$501,SMALL(IF($D$2:$D$501="France",ROW($D$2:$D$501)-1),ROW()-1)),"")</f>
        <v/>
      </c>
      <c r="V493">
        <f t="array" ref="V493">IFERROR(INDEX($C$2:$C$501,SMALL(IF($D$2:$D$501="Germany",ROW($D$2:$D$501)-1),ROW()-1)),"")</f>
        <v/>
      </c>
      <c r="W493">
        <f t="array" ref="W493">IFERROR(INDEX($C$2:$C$501,SMALL(IF($D$2:$D$501="Spain",ROW($D$2:$D$501)-1),ROW()-1)),"")</f>
        <v/>
      </c>
    </row>
    <row r="494">
      <c r="A494" t="n">
        <v>493</v>
      </c>
      <c r="B494" t="inlineStr">
        <is>
          <t>Jones</t>
        </is>
      </c>
      <c r="C494" t="n">
        <v>566</v>
      </c>
      <c r="D494" t="inlineStr">
        <is>
          <t>France</t>
        </is>
      </c>
      <c r="E494" t="inlineStr">
        <is>
          <t>Female</t>
        </is>
      </c>
      <c r="F494" t="n">
        <v>67</v>
      </c>
      <c r="G494" t="n">
        <v>8</v>
      </c>
      <c r="H494" t="n">
        <v>107431.37</v>
      </c>
      <c r="I494" t="n">
        <v>2</v>
      </c>
      <c r="J494" t="n">
        <v>1</v>
      </c>
      <c r="K494" t="n">
        <v>0</v>
      </c>
      <c r="L494" t="n">
        <v>136772.28</v>
      </c>
      <c r="M494" t="n">
        <v>0</v>
      </c>
      <c r="O494">
        <f>IF($M494=1,$L494,"")</f>
        <v/>
      </c>
      <c r="P494">
        <f>IF($M494=0,$L494,"")</f>
        <v/>
      </c>
      <c r="R494">
        <f t="array" ref="R494">IFERROR(INDEX($L$2:$L$501,SMALL(IF($M$2:$M$501=1,ROW($M$2:$M$501)-1),ROW()-1)),"")</f>
        <v/>
      </c>
      <c r="S494">
        <f t="array" ref="S494">IFERROR(INDEX($L$2:$L$501,SMALL(IF($M$2:$M$501=0,ROW($M$2:$M$501)-1),ROW()-1)),"")</f>
        <v/>
      </c>
      <c r="U494">
        <f t="array" ref="U494">IFERROR(INDEX($C$2:$C$501,SMALL(IF($D$2:$D$501="France",ROW($D$2:$D$501)-1),ROW()-1)),"")</f>
        <v/>
      </c>
      <c r="V494">
        <f t="array" ref="V494">IFERROR(INDEX($C$2:$C$501,SMALL(IF($D$2:$D$501="Germany",ROW($D$2:$D$501)-1),ROW()-1)),"")</f>
        <v/>
      </c>
      <c r="W494">
        <f t="array" ref="W494">IFERROR(INDEX($C$2:$C$501,SMALL(IF($D$2:$D$501="Spain",ROW($D$2:$D$501)-1),ROW()-1)),"")</f>
        <v/>
      </c>
    </row>
    <row r="495">
      <c r="A495" t="n">
        <v>494</v>
      </c>
      <c r="B495" t="inlineStr">
        <is>
          <t>Miller</t>
        </is>
      </c>
      <c r="C495" t="n">
        <v>813</v>
      </c>
      <c r="D495" t="inlineStr">
        <is>
          <t>Germany</t>
        </is>
      </c>
      <c r="E495" t="inlineStr">
        <is>
          <t>Male</t>
        </is>
      </c>
      <c r="F495" t="n">
        <v>55</v>
      </c>
      <c r="G495" t="n">
        <v>10</v>
      </c>
      <c r="H495" t="n">
        <v>201976.42</v>
      </c>
      <c r="I495" t="n">
        <v>3</v>
      </c>
      <c r="J495" t="n">
        <v>0</v>
      </c>
      <c r="K495" t="n">
        <v>1</v>
      </c>
      <c r="L495" t="n">
        <v>131084.15</v>
      </c>
      <c r="M495" t="n">
        <v>0</v>
      </c>
      <c r="O495">
        <f>IF($M495=1,$L495,"")</f>
        <v/>
      </c>
      <c r="P495">
        <f>IF($M495=0,$L495,"")</f>
        <v/>
      </c>
      <c r="R495">
        <f t="array" ref="R495">IFERROR(INDEX($L$2:$L$501,SMALL(IF($M$2:$M$501=1,ROW($M$2:$M$501)-1),ROW()-1)),"")</f>
        <v/>
      </c>
      <c r="S495">
        <f t="array" ref="S495">IFERROR(INDEX($L$2:$L$501,SMALL(IF($M$2:$M$501=0,ROW($M$2:$M$501)-1),ROW()-1)),"")</f>
        <v/>
      </c>
      <c r="U495">
        <f t="array" ref="U495">IFERROR(INDEX($C$2:$C$501,SMALL(IF($D$2:$D$501="France",ROW($D$2:$D$501)-1),ROW()-1)),"")</f>
        <v/>
      </c>
      <c r="V495">
        <f t="array" ref="V495">IFERROR(INDEX($C$2:$C$501,SMALL(IF($D$2:$D$501="Germany",ROW($D$2:$D$501)-1),ROW()-1)),"")</f>
        <v/>
      </c>
      <c r="W495">
        <f t="array" ref="W495">IFERROR(INDEX($C$2:$C$501,SMALL(IF($D$2:$D$501="Spain",ROW($D$2:$D$501)-1),ROW()-1)),"")</f>
        <v/>
      </c>
    </row>
    <row r="496">
      <c r="A496" t="n">
        <v>495</v>
      </c>
      <c r="B496" t="inlineStr">
        <is>
          <t>Smith</t>
        </is>
      </c>
      <c r="C496" t="n">
        <v>451</v>
      </c>
      <c r="D496" t="inlineStr">
        <is>
          <t>Germany</t>
        </is>
      </c>
      <c r="E496" t="inlineStr">
        <is>
          <t>Male</t>
        </is>
      </c>
      <c r="F496" t="n">
        <v>62</v>
      </c>
      <c r="G496" t="n">
        <v>7</v>
      </c>
      <c r="H496" t="n">
        <v>38075.55</v>
      </c>
      <c r="I496" t="n">
        <v>2</v>
      </c>
      <c r="J496" t="n">
        <v>0</v>
      </c>
      <c r="K496" t="n">
        <v>1</v>
      </c>
      <c r="L496" t="n">
        <v>11580.61</v>
      </c>
      <c r="M496" t="n">
        <v>0</v>
      </c>
      <c r="O496">
        <f>IF($M496=1,$L496,"")</f>
        <v/>
      </c>
      <c r="P496">
        <f>IF($M496=0,$L496,"")</f>
        <v/>
      </c>
      <c r="R496">
        <f t="array" ref="R496">IFERROR(INDEX($L$2:$L$501,SMALL(IF($M$2:$M$501=1,ROW($M$2:$M$501)-1),ROW()-1)),"")</f>
        <v/>
      </c>
      <c r="S496">
        <f t="array" ref="S496">IFERROR(INDEX($L$2:$L$501,SMALL(IF($M$2:$M$501=0,ROW($M$2:$M$501)-1),ROW()-1)),"")</f>
        <v/>
      </c>
      <c r="U496">
        <f t="array" ref="U496">IFERROR(INDEX($C$2:$C$501,SMALL(IF($D$2:$D$501="France",ROW($D$2:$D$501)-1),ROW()-1)),"")</f>
        <v/>
      </c>
      <c r="V496">
        <f t="array" ref="V496">IFERROR(INDEX($C$2:$C$501,SMALL(IF($D$2:$D$501="Germany",ROW($D$2:$D$501)-1),ROW()-1)),"")</f>
        <v/>
      </c>
      <c r="W496">
        <f t="array" ref="W496">IFERROR(INDEX($C$2:$C$501,SMALL(IF($D$2:$D$501="Spain",ROW($D$2:$D$501)-1),ROW()-1)),"")</f>
        <v/>
      </c>
    </row>
    <row r="497">
      <c r="A497" t="n">
        <v>496</v>
      </c>
      <c r="B497" t="inlineStr">
        <is>
          <t>Moore</t>
        </is>
      </c>
      <c r="C497" t="n">
        <v>647</v>
      </c>
      <c r="D497" t="inlineStr">
        <is>
          <t>Germany</t>
        </is>
      </c>
      <c r="E497" t="inlineStr">
        <is>
          <t>Male</t>
        </is>
      </c>
      <c r="F497" t="n">
        <v>87</v>
      </c>
      <c r="G497" t="n">
        <v>7</v>
      </c>
      <c r="H497" t="n">
        <v>154264.92</v>
      </c>
      <c r="I497" t="n">
        <v>2</v>
      </c>
      <c r="J497" t="n">
        <v>1</v>
      </c>
      <c r="K497" t="n">
        <v>0</v>
      </c>
      <c r="L497" t="n">
        <v>97382.98</v>
      </c>
      <c r="M497" t="n">
        <v>1</v>
      </c>
      <c r="O497">
        <f>IF($M497=1,$L497,"")</f>
        <v/>
      </c>
      <c r="P497">
        <f>IF($M497=0,$L497,"")</f>
        <v/>
      </c>
      <c r="R497">
        <f t="array" ref="R497">IFERROR(INDEX($L$2:$L$501,SMALL(IF($M$2:$M$501=1,ROW($M$2:$M$501)-1),ROW()-1)),"")</f>
        <v/>
      </c>
      <c r="S497">
        <f t="array" ref="S497">IFERROR(INDEX($L$2:$L$501,SMALL(IF($M$2:$M$501=0,ROW($M$2:$M$501)-1),ROW()-1)),"")</f>
        <v/>
      </c>
      <c r="U497">
        <f t="array" ref="U497">IFERROR(INDEX($C$2:$C$501,SMALL(IF($D$2:$D$501="France",ROW($D$2:$D$501)-1),ROW()-1)),"")</f>
        <v/>
      </c>
      <c r="V497">
        <f t="array" ref="V497">IFERROR(INDEX($C$2:$C$501,SMALL(IF($D$2:$D$501="Germany",ROW($D$2:$D$501)-1),ROW()-1)),"")</f>
        <v/>
      </c>
      <c r="W497">
        <f t="array" ref="W497">IFERROR(INDEX($C$2:$C$501,SMALL(IF($D$2:$D$501="Spain",ROW($D$2:$D$501)-1),ROW()-1)),"")</f>
        <v/>
      </c>
    </row>
    <row r="498">
      <c r="A498" t="n">
        <v>497</v>
      </c>
      <c r="B498" t="inlineStr">
        <is>
          <t>Smith</t>
        </is>
      </c>
      <c r="C498" t="n">
        <v>751</v>
      </c>
      <c r="D498" t="inlineStr">
        <is>
          <t>Spain</t>
        </is>
      </c>
      <c r="E498" t="inlineStr">
        <is>
          <t>Female</t>
        </is>
      </c>
      <c r="F498" t="n">
        <v>34</v>
      </c>
      <c r="G498" t="n">
        <v>1</v>
      </c>
      <c r="H498" t="n">
        <v>118072.6</v>
      </c>
      <c r="I498" t="n">
        <v>3</v>
      </c>
      <c r="J498" t="n">
        <v>0</v>
      </c>
      <c r="K498" t="n">
        <v>1</v>
      </c>
      <c r="L498" t="n">
        <v>98955.37</v>
      </c>
      <c r="M498" t="n">
        <v>1</v>
      </c>
      <c r="O498">
        <f>IF($M498=1,$L498,"")</f>
        <v/>
      </c>
      <c r="P498">
        <f>IF($M498=0,$L498,"")</f>
        <v/>
      </c>
      <c r="R498">
        <f t="array" ref="R498">IFERROR(INDEX($L$2:$L$501,SMALL(IF($M$2:$M$501=1,ROW($M$2:$M$501)-1),ROW()-1)),"")</f>
        <v/>
      </c>
      <c r="S498">
        <f t="array" ref="S498">IFERROR(INDEX($L$2:$L$501,SMALL(IF($M$2:$M$501=0,ROW($M$2:$M$501)-1),ROW()-1)),"")</f>
        <v/>
      </c>
      <c r="U498">
        <f t="array" ref="U498">IFERROR(INDEX($C$2:$C$501,SMALL(IF($D$2:$D$501="France",ROW($D$2:$D$501)-1),ROW()-1)),"")</f>
        <v/>
      </c>
      <c r="V498">
        <f t="array" ref="V498">IFERROR(INDEX($C$2:$C$501,SMALL(IF($D$2:$D$501="Germany",ROW($D$2:$D$501)-1),ROW()-1)),"")</f>
        <v/>
      </c>
      <c r="W498">
        <f t="array" ref="W498">IFERROR(INDEX($C$2:$C$501,SMALL(IF($D$2:$D$501="Spain",ROW($D$2:$D$501)-1),ROW()-1)),"")</f>
        <v/>
      </c>
    </row>
    <row r="499">
      <c r="A499" t="n">
        <v>498</v>
      </c>
      <c r="B499" t="inlineStr">
        <is>
          <t>Wilson</t>
        </is>
      </c>
      <c r="C499" t="n">
        <v>814</v>
      </c>
      <c r="D499" t="inlineStr">
        <is>
          <t>Spain</t>
        </is>
      </c>
      <c r="E499" t="inlineStr">
        <is>
          <t>Female</t>
        </is>
      </c>
      <c r="F499" t="n">
        <v>34</v>
      </c>
      <c r="G499" t="n">
        <v>9</v>
      </c>
      <c r="H499" t="n">
        <v>161580.2</v>
      </c>
      <c r="I499" t="n">
        <v>3</v>
      </c>
      <c r="J499" t="n">
        <v>0</v>
      </c>
      <c r="K499" t="n">
        <v>0</v>
      </c>
      <c r="L499" t="n">
        <v>148752.49</v>
      </c>
      <c r="M499" t="n">
        <v>0</v>
      </c>
      <c r="O499">
        <f>IF($M499=1,$L499,"")</f>
        <v/>
      </c>
      <c r="P499">
        <f>IF($M499=0,$L499,"")</f>
        <v/>
      </c>
      <c r="R499">
        <f t="array" ref="R499">IFERROR(INDEX($L$2:$L$501,SMALL(IF($M$2:$M$501=1,ROW($M$2:$M$501)-1),ROW()-1)),"")</f>
        <v/>
      </c>
      <c r="S499">
        <f t="array" ref="S499">IFERROR(INDEX($L$2:$L$501,SMALL(IF($M$2:$M$501=0,ROW($M$2:$M$501)-1),ROW()-1)),"")</f>
        <v/>
      </c>
      <c r="U499">
        <f t="array" ref="U499">IFERROR(INDEX($C$2:$C$501,SMALL(IF($D$2:$D$501="France",ROW($D$2:$D$501)-1),ROW()-1)),"")</f>
        <v/>
      </c>
      <c r="V499">
        <f t="array" ref="V499">IFERROR(INDEX($C$2:$C$501,SMALL(IF($D$2:$D$501="Germany",ROW($D$2:$D$501)-1),ROW()-1)),"")</f>
        <v/>
      </c>
      <c r="W499">
        <f t="array" ref="W499">IFERROR(INDEX($C$2:$C$501,SMALL(IF($D$2:$D$501="Spain",ROW($D$2:$D$501)-1),ROW()-1)),"")</f>
        <v/>
      </c>
    </row>
    <row r="500">
      <c r="A500" t="n">
        <v>499</v>
      </c>
      <c r="B500" t="inlineStr">
        <is>
          <t>Miller</t>
        </is>
      </c>
      <c r="C500" t="n">
        <v>718</v>
      </c>
      <c r="D500" t="inlineStr">
        <is>
          <t>Spain</t>
        </is>
      </c>
      <c r="E500" t="inlineStr">
        <is>
          <t>Male</t>
        </is>
      </c>
      <c r="F500" t="n">
        <v>28</v>
      </c>
      <c r="G500" t="n">
        <v>0</v>
      </c>
      <c r="H500" t="n">
        <v>100871.3</v>
      </c>
      <c r="I500" t="n">
        <v>4</v>
      </c>
      <c r="J500" t="n">
        <v>0</v>
      </c>
      <c r="K500" t="n">
        <v>0</v>
      </c>
      <c r="L500" t="n">
        <v>106391.64</v>
      </c>
      <c r="M500" t="n">
        <v>1</v>
      </c>
      <c r="O500">
        <f>IF($M500=1,$L500,"")</f>
        <v/>
      </c>
      <c r="P500">
        <f>IF($M500=0,$L500,"")</f>
        <v/>
      </c>
      <c r="R500">
        <f t="array" ref="R500">IFERROR(INDEX($L$2:$L$501,SMALL(IF($M$2:$M$501=1,ROW($M$2:$M$501)-1),ROW()-1)),"")</f>
        <v/>
      </c>
      <c r="S500">
        <f t="array" ref="S500">IFERROR(INDEX($L$2:$L$501,SMALL(IF($M$2:$M$501=0,ROW($M$2:$M$501)-1),ROW()-1)),"")</f>
        <v/>
      </c>
      <c r="U500">
        <f t="array" ref="U500">IFERROR(INDEX($C$2:$C$501,SMALL(IF($D$2:$D$501="France",ROW($D$2:$D$501)-1),ROW()-1)),"")</f>
        <v/>
      </c>
      <c r="V500">
        <f t="array" ref="V500">IFERROR(INDEX($C$2:$C$501,SMALL(IF($D$2:$D$501="Germany",ROW($D$2:$D$501)-1),ROW()-1)),"")</f>
        <v/>
      </c>
      <c r="W500">
        <f t="array" ref="W500">IFERROR(INDEX($C$2:$C$501,SMALL(IF($D$2:$D$501="Spain",ROW($D$2:$D$501)-1),ROW()-1)),"")</f>
        <v/>
      </c>
    </row>
    <row r="501">
      <c r="A501" t="n">
        <v>500</v>
      </c>
      <c r="B501" t="inlineStr">
        <is>
          <t>Davis</t>
        </is>
      </c>
      <c r="C501" t="n">
        <v>393</v>
      </c>
      <c r="D501" t="inlineStr">
        <is>
          <t>Germany</t>
        </is>
      </c>
      <c r="E501" t="inlineStr">
        <is>
          <t>Male</t>
        </is>
      </c>
      <c r="F501" t="n">
        <v>23</v>
      </c>
      <c r="G501" t="n">
        <v>9</v>
      </c>
      <c r="H501" t="n">
        <v>189955.55</v>
      </c>
      <c r="I501" t="n">
        <v>3</v>
      </c>
      <c r="J501" t="n">
        <v>1</v>
      </c>
      <c r="K501" t="n">
        <v>1</v>
      </c>
      <c r="L501" t="n">
        <v>85565.14</v>
      </c>
      <c r="M501" t="n">
        <v>1</v>
      </c>
      <c r="O501">
        <f>IF($M501=1,$L501,"")</f>
        <v/>
      </c>
      <c r="P501">
        <f>IF($M501=0,$L501,"")</f>
        <v/>
      </c>
      <c r="R501">
        <f t="array" ref="R501">IFERROR(INDEX($L$2:$L$501,SMALL(IF($M$2:$M$501=1,ROW($M$2:$M$501)-1),ROW()-1)),"")</f>
        <v/>
      </c>
      <c r="S501">
        <f t="array" ref="S501">IFERROR(INDEX($L$2:$L$501,SMALL(IF($M$2:$M$501=0,ROW($M$2:$M$501)-1),ROW()-1)),"")</f>
        <v/>
      </c>
      <c r="U501">
        <f t="array" ref="U501">IFERROR(INDEX($C$2:$C$501,SMALL(IF($D$2:$D$501="France",ROW($D$2:$D$501)-1),ROW()-1)),"")</f>
        <v/>
      </c>
      <c r="V501">
        <f t="array" ref="V501">IFERROR(INDEX($C$2:$C$501,SMALL(IF($D$2:$D$501="Germany",ROW($D$2:$D$501)-1),ROW()-1)),"")</f>
        <v/>
      </c>
      <c r="W501">
        <f t="array" ref="W501">IFERROR(INDEX($C$2:$C$501,SMALL(IF($D$2:$D$501="Spain",ROW($D$2:$D$501)-1),ROW()-1)),"")</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Iyinoluwa Don-Taiwo</dc:creator>
  <dcterms:created xmlns:dcterms="http://purl.org/dc/terms/" xmlns:xsi="http://www.w3.org/2001/XMLSchema-instance" xsi:type="dcterms:W3CDTF">2024-03-01T15:46:12Z</dcterms:created>
  <dcterms:modified xmlns:dcterms="http://purl.org/dc/terms/" xmlns:xsi="http://www.w3.org/2001/XMLSchema-instance" xsi:type="dcterms:W3CDTF">2026-10-22T19:29:16Z</dcterms:modified>
  <cp:lastModifiedBy>Don-Taiwoij Don-Taiwo</cp:lastModifiedBy>
</cp:coreProperties>
</file>

<file path=docProps/custom.xml><?xml version="1.0" encoding="utf-8"?>
<Properties xmlns="http://schemas.openxmlformats.org/officeDocument/2006/custom-properties">
  <property name="MSIP_Label_defa4170-0d19-0005-0004-bc88714345d2_Enabled" fmtid="{D5CDD505-2E9C-101B-9397-08002B2CF9AE}" pid="2">
    <vt:lpwstr xmlns:vt="http://schemas.openxmlformats.org/officeDocument/2006/docPropsVTypes">true</vt:lpwstr>
  </property>
  <property name="MSIP_Label_defa4170-0d19-0005-0004-bc88714345d2_SetDate" fmtid="{D5CDD505-2E9C-101B-9397-08002B2CF9AE}" pid="3">
    <vt:lpwstr xmlns:vt="http://schemas.openxmlformats.org/officeDocument/2006/docPropsVTypes">2024-03-01T15:51:53Z</vt:lpwstr>
  </property>
  <property name="MSIP_Label_defa4170-0d19-0005-0004-bc88714345d2_Method" fmtid="{D5CDD505-2E9C-101B-9397-08002B2CF9AE}" pid="4">
    <vt:lpwstr xmlns:vt="http://schemas.openxmlformats.org/officeDocument/2006/docPropsVTypes">Standard</vt:lpwstr>
  </property>
  <property name="MSIP_Label_defa4170-0d19-0005-0004-bc88714345d2_Name" fmtid="{D5CDD505-2E9C-101B-9397-08002B2CF9AE}" pid="5">
    <vt:lpwstr xmlns:vt="http://schemas.openxmlformats.org/officeDocument/2006/docPropsVTypes">defa4170-0d19-0005-0004-bc88714345d2</vt:lpwstr>
  </property>
  <property name="MSIP_Label_defa4170-0d19-0005-0004-bc88714345d2_SiteId" fmtid="{D5CDD505-2E9C-101B-9397-08002B2CF9AE}" pid="6">
    <vt:lpwstr xmlns:vt="http://schemas.openxmlformats.org/officeDocument/2006/docPropsVTypes">6749fc5e-b298-4fac-bcf5-563971e1a344</vt:lpwstr>
  </property>
  <property name="MSIP_Label_defa4170-0d19-0005-0004-bc88714345d2_ActionId" fmtid="{D5CDD505-2E9C-101B-9397-08002B2CF9AE}" pid="7">
    <vt:lpwstr xmlns:vt="http://schemas.openxmlformats.org/officeDocument/2006/docPropsVTypes">54ae5a51-1003-4027-8c2c-f56b95709b25</vt:lpwstr>
  </property>
  <property name="MSIP_Label_defa4170-0d19-0005-0004-bc88714345d2_ContentBits" fmtid="{D5CDD505-2E9C-101B-9397-08002B2CF9AE}" pid="8">
    <vt:lpwstr xmlns:vt="http://schemas.openxmlformats.org/officeDocument/2006/docPropsVTypes">0</vt:lpwstr>
  </property>
</Properties>
</file>